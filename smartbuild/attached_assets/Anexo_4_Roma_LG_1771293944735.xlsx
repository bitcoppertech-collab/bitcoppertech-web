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droramosmorales/Dropbox/Mi Mac (MacBook Pro de Pedro)/Desktop/OBRAS 2026/Espacio P Lucila Godoy/"/>
    </mc:Choice>
  </mc:AlternateContent>
  <xr:revisionPtr revIDLastSave="0" documentId="8_{1EFF170C-3A7C-394F-A495-C8DB9BB5850A}" xr6:coauthVersionLast="36" xr6:coauthVersionMax="36" xr10:uidLastSave="{00000000-0000-0000-0000-000000000000}"/>
  <bookViews>
    <workbookView xWindow="6780" yWindow="3800" windowWidth="26440" windowHeight="15440" xr2:uid="{2D7251A9-A2B7-8349-8900-5DA62EB16219}"/>
  </bookViews>
  <sheets>
    <sheet name="APU 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'APU '!$B$114:$F$4735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092" i="1" l="1"/>
  <c r="F5091" i="1"/>
  <c r="F5090" i="1"/>
  <c r="F5089" i="1"/>
  <c r="F5088" i="1"/>
  <c r="F5094" i="1" s="1"/>
  <c r="F5082" i="1"/>
  <c r="F5081" i="1"/>
  <c r="F5080" i="1"/>
  <c r="F5079" i="1"/>
  <c r="F5078" i="1"/>
  <c r="F5084" i="1" s="1"/>
  <c r="F5073" i="1"/>
  <c r="F5072" i="1"/>
  <c r="F5071" i="1"/>
  <c r="F5070" i="1"/>
  <c r="F5069" i="1"/>
  <c r="F5068" i="1"/>
  <c r="B5068" i="1"/>
  <c r="C5061" i="1"/>
  <c r="F5034" i="1"/>
  <c r="F5033" i="1"/>
  <c r="F5032" i="1"/>
  <c r="F5031" i="1"/>
  <c r="F5036" i="1" s="1"/>
  <c r="F5030" i="1"/>
  <c r="F5024" i="1"/>
  <c r="F5023" i="1"/>
  <c r="F5022" i="1"/>
  <c r="F5021" i="1"/>
  <c r="F5020" i="1"/>
  <c r="F5026" i="1" s="1"/>
  <c r="F5015" i="1"/>
  <c r="F5014" i="1"/>
  <c r="F5013" i="1"/>
  <c r="F5012" i="1"/>
  <c r="F5016" i="1" s="1"/>
  <c r="F5039" i="1" s="1"/>
  <c r="F5011" i="1"/>
  <c r="F5010" i="1"/>
  <c r="C5003" i="1"/>
  <c r="F4976" i="1"/>
  <c r="F4975" i="1"/>
  <c r="F4974" i="1"/>
  <c r="F4973" i="1"/>
  <c r="F4972" i="1"/>
  <c r="F4966" i="1"/>
  <c r="F4965" i="1"/>
  <c r="F4964" i="1"/>
  <c r="F4963" i="1"/>
  <c r="F4968" i="1" s="1"/>
  <c r="F4962" i="1"/>
  <c r="F4957" i="1"/>
  <c r="F4956" i="1"/>
  <c r="F4955" i="1"/>
  <c r="F4954" i="1"/>
  <c r="F4953" i="1"/>
  <c r="F4952" i="1"/>
  <c r="F4958" i="1" s="1"/>
  <c r="C4945" i="1"/>
  <c r="F4918" i="1"/>
  <c r="F4917" i="1"/>
  <c r="F4916" i="1"/>
  <c r="F4915" i="1"/>
  <c r="F4920" i="1" s="1"/>
  <c r="F4914" i="1"/>
  <c r="F4908" i="1"/>
  <c r="F4907" i="1"/>
  <c r="F4906" i="1"/>
  <c r="F4905" i="1"/>
  <c r="F4904" i="1"/>
  <c r="F4910" i="1" s="1"/>
  <c r="F4899" i="1"/>
  <c r="F4898" i="1"/>
  <c r="F4897" i="1"/>
  <c r="F4896" i="1"/>
  <c r="F4900" i="1" s="1"/>
  <c r="F4923" i="1" s="1"/>
  <c r="F4895" i="1"/>
  <c r="F4894" i="1"/>
  <c r="C4887" i="1"/>
  <c r="F4860" i="1"/>
  <c r="F4859" i="1"/>
  <c r="F4858" i="1"/>
  <c r="F4857" i="1"/>
  <c r="F4856" i="1"/>
  <c r="F4862" i="1" s="1"/>
  <c r="F4850" i="1"/>
  <c r="F4849" i="1"/>
  <c r="F4848" i="1"/>
  <c r="F4847" i="1"/>
  <c r="F4852" i="1" s="1"/>
  <c r="F4846" i="1"/>
  <c r="F4841" i="1"/>
  <c r="F4840" i="1"/>
  <c r="F4839" i="1"/>
  <c r="F4838" i="1"/>
  <c r="F4837" i="1"/>
  <c r="F4836" i="1"/>
  <c r="F4842" i="1" s="1"/>
  <c r="B4836" i="1"/>
  <c r="C4829" i="1"/>
  <c r="F4802" i="1"/>
  <c r="F4801" i="1"/>
  <c r="F4800" i="1"/>
  <c r="F4799" i="1"/>
  <c r="F4798" i="1"/>
  <c r="F4792" i="1"/>
  <c r="E4792" i="1"/>
  <c r="F4791" i="1"/>
  <c r="F4790" i="1"/>
  <c r="F4789" i="1"/>
  <c r="F4794" i="1" s="1"/>
  <c r="F4788" i="1"/>
  <c r="F4783" i="1"/>
  <c r="F4782" i="1"/>
  <c r="F4781" i="1"/>
  <c r="F4780" i="1"/>
  <c r="F4779" i="1"/>
  <c r="F4778" i="1"/>
  <c r="F4784" i="1" s="1"/>
  <c r="B4778" i="1"/>
  <c r="C4771" i="1"/>
  <c r="F4744" i="1"/>
  <c r="F4743" i="1"/>
  <c r="F4742" i="1"/>
  <c r="F4741" i="1"/>
  <c r="F4740" i="1"/>
  <c r="F4746" i="1" s="1"/>
  <c r="F4734" i="1"/>
  <c r="E4734" i="1"/>
  <c r="F4733" i="1"/>
  <c r="F4732" i="1"/>
  <c r="F4736" i="1" s="1"/>
  <c r="F4731" i="1"/>
  <c r="F4730" i="1"/>
  <c r="F4725" i="1"/>
  <c r="F4724" i="1"/>
  <c r="F4723" i="1"/>
  <c r="F4722" i="1"/>
  <c r="F4721" i="1"/>
  <c r="F4720" i="1"/>
  <c r="B4720" i="1"/>
  <c r="C4713" i="1"/>
  <c r="F4686" i="1"/>
  <c r="F4685" i="1"/>
  <c r="F4684" i="1"/>
  <c r="F4683" i="1"/>
  <c r="F4682" i="1"/>
  <c r="F4688" i="1" s="1"/>
  <c r="F4676" i="1"/>
  <c r="E4676" i="1"/>
  <c r="F4675" i="1"/>
  <c r="F4674" i="1"/>
  <c r="F4678" i="1" s="1"/>
  <c r="F4673" i="1"/>
  <c r="F4672" i="1"/>
  <c r="F4667" i="1"/>
  <c r="F4666" i="1"/>
  <c r="F4665" i="1"/>
  <c r="F4664" i="1"/>
  <c r="F4663" i="1"/>
  <c r="F4662" i="1"/>
  <c r="B4662" i="1"/>
  <c r="C4655" i="1"/>
  <c r="F4628" i="1"/>
  <c r="F4627" i="1"/>
  <c r="F4626" i="1"/>
  <c r="F4625" i="1"/>
  <c r="F4624" i="1"/>
  <c r="F4618" i="1"/>
  <c r="E4618" i="1"/>
  <c r="F4617" i="1"/>
  <c r="F4616" i="1"/>
  <c r="F4620" i="1" s="1"/>
  <c r="F4615" i="1"/>
  <c r="F4614" i="1"/>
  <c r="F4609" i="1"/>
  <c r="F4608" i="1"/>
  <c r="F4607" i="1"/>
  <c r="F4606" i="1"/>
  <c r="F4605" i="1"/>
  <c r="F4604" i="1"/>
  <c r="F4610" i="1" s="1"/>
  <c r="C4597" i="1"/>
  <c r="F4569" i="1"/>
  <c r="F4568" i="1"/>
  <c r="F4567" i="1"/>
  <c r="F4566" i="1"/>
  <c r="F4565" i="1"/>
  <c r="E4559" i="1"/>
  <c r="F4559" i="1" s="1"/>
  <c r="F4558" i="1"/>
  <c r="F4557" i="1"/>
  <c r="F4556" i="1"/>
  <c r="F4555" i="1"/>
  <c r="F4561" i="1" s="1"/>
  <c r="F4550" i="1"/>
  <c r="F4549" i="1"/>
  <c r="F4548" i="1"/>
  <c r="F4547" i="1"/>
  <c r="F4546" i="1"/>
  <c r="F4545" i="1"/>
  <c r="F4551" i="1" s="1"/>
  <c r="C4538" i="1"/>
  <c r="F4511" i="1"/>
  <c r="F4510" i="1"/>
  <c r="F4509" i="1"/>
  <c r="F4508" i="1"/>
  <c r="F4507" i="1"/>
  <c r="F4513" i="1" s="1"/>
  <c r="E4501" i="1"/>
  <c r="F4501" i="1" s="1"/>
  <c r="F4500" i="1"/>
  <c r="F4499" i="1"/>
  <c r="F4498" i="1"/>
  <c r="F4497" i="1"/>
  <c r="F4503" i="1" s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93" i="1" s="1"/>
  <c r="F4516" i="1" s="1"/>
  <c r="F4476" i="1"/>
  <c r="C4469" i="1"/>
  <c r="F4442" i="1"/>
  <c r="F4441" i="1"/>
  <c r="F4440" i="1"/>
  <c r="F4439" i="1"/>
  <c r="F4438" i="1"/>
  <c r="F4444" i="1" s="1"/>
  <c r="F4432" i="1"/>
  <c r="E4432" i="1"/>
  <c r="F4431" i="1"/>
  <c r="F4430" i="1"/>
  <c r="F4434" i="1" s="1"/>
  <c r="F4429" i="1"/>
  <c r="F4428" i="1"/>
  <c r="F4423" i="1"/>
  <c r="F4422" i="1"/>
  <c r="F4421" i="1"/>
  <c r="F4420" i="1"/>
  <c r="F4419" i="1"/>
  <c r="F4418" i="1"/>
  <c r="C4411" i="1"/>
  <c r="F4384" i="1"/>
  <c r="F4383" i="1"/>
  <c r="F4382" i="1"/>
  <c r="F4381" i="1"/>
  <c r="F4386" i="1" s="1"/>
  <c r="F4380" i="1"/>
  <c r="F4374" i="1"/>
  <c r="E4374" i="1"/>
  <c r="F4373" i="1"/>
  <c r="F4372" i="1"/>
  <c r="F4371" i="1"/>
  <c r="F4370" i="1"/>
  <c r="F4365" i="1"/>
  <c r="F4364" i="1"/>
  <c r="F4363" i="1"/>
  <c r="F4362" i="1"/>
  <c r="F4361" i="1"/>
  <c r="F4360" i="1"/>
  <c r="C4353" i="1"/>
  <c r="F4327" i="1"/>
  <c r="F4326" i="1"/>
  <c r="F4325" i="1"/>
  <c r="F4324" i="1"/>
  <c r="F4329" i="1" s="1"/>
  <c r="F4323" i="1"/>
  <c r="E4317" i="1"/>
  <c r="F4317" i="1" s="1"/>
  <c r="F4316" i="1"/>
  <c r="F4315" i="1"/>
  <c r="F4314" i="1"/>
  <c r="F4313" i="1"/>
  <c r="F4319" i="1" s="1"/>
  <c r="F4308" i="1"/>
  <c r="F4307" i="1"/>
  <c r="F4306" i="1"/>
  <c r="F4305" i="1"/>
  <c r="F4309" i="1" s="1"/>
  <c r="F4304" i="1"/>
  <c r="F4303" i="1"/>
  <c r="C4296" i="1"/>
  <c r="F4270" i="1"/>
  <c r="F4269" i="1"/>
  <c r="F4268" i="1"/>
  <c r="F4267" i="1"/>
  <c r="F4266" i="1"/>
  <c r="F4272" i="1" s="1"/>
  <c r="E4260" i="1"/>
  <c r="F4260" i="1" s="1"/>
  <c r="F4259" i="1"/>
  <c r="F4258" i="1"/>
  <c r="F4257" i="1"/>
  <c r="F4256" i="1"/>
  <c r="F4251" i="1"/>
  <c r="F4250" i="1"/>
  <c r="F4249" i="1"/>
  <c r="F4248" i="1"/>
  <c r="F4252" i="1" s="1"/>
  <c r="F4247" i="1"/>
  <c r="F4246" i="1"/>
  <c r="C4239" i="1"/>
  <c r="F4213" i="1"/>
  <c r="F4212" i="1"/>
  <c r="F4211" i="1"/>
  <c r="F4210" i="1"/>
  <c r="F4209" i="1"/>
  <c r="F4215" i="1" s="1"/>
  <c r="E4203" i="1"/>
  <c r="F4203" i="1" s="1"/>
  <c r="F4202" i="1"/>
  <c r="F4201" i="1"/>
  <c r="F4205" i="1" s="1"/>
  <c r="F4200" i="1"/>
  <c r="F4199" i="1"/>
  <c r="F4194" i="1"/>
  <c r="F4193" i="1"/>
  <c r="F4192" i="1"/>
  <c r="F4191" i="1"/>
  <c r="F4190" i="1"/>
  <c r="F4195" i="1" s="1"/>
  <c r="F4189" i="1"/>
  <c r="B4189" i="1"/>
  <c r="C4182" i="1"/>
  <c r="F4156" i="1"/>
  <c r="F4155" i="1"/>
  <c r="F4154" i="1"/>
  <c r="F4153" i="1"/>
  <c r="F4152" i="1"/>
  <c r="F4158" i="1" s="1"/>
  <c r="E4146" i="1"/>
  <c r="F4146" i="1" s="1"/>
  <c r="F4145" i="1"/>
  <c r="F4144" i="1"/>
  <c r="F4143" i="1"/>
  <c r="F4142" i="1"/>
  <c r="F4148" i="1" s="1"/>
  <c r="F4137" i="1"/>
  <c r="F4136" i="1"/>
  <c r="F4135" i="1"/>
  <c r="F4134" i="1"/>
  <c r="F4138" i="1" s="1"/>
  <c r="F4161" i="1" s="1"/>
  <c r="F4133" i="1"/>
  <c r="F4132" i="1"/>
  <c r="B4132" i="1"/>
  <c r="C4125" i="1"/>
  <c r="F4099" i="1"/>
  <c r="F4098" i="1"/>
  <c r="F4097" i="1"/>
  <c r="F4096" i="1"/>
  <c r="F4101" i="1" s="1"/>
  <c r="F4095" i="1"/>
  <c r="F4089" i="1"/>
  <c r="E4089" i="1"/>
  <c r="F4088" i="1"/>
  <c r="F4087" i="1"/>
  <c r="F4086" i="1"/>
  <c r="F4085" i="1"/>
  <c r="F4080" i="1"/>
  <c r="F4079" i="1"/>
  <c r="F4078" i="1"/>
  <c r="F4077" i="1"/>
  <c r="F4076" i="1"/>
  <c r="F4075" i="1"/>
  <c r="F4081" i="1" s="1"/>
  <c r="B4075" i="1"/>
  <c r="C4068" i="1"/>
  <c r="F4042" i="1"/>
  <c r="F4041" i="1"/>
  <c r="F4040" i="1"/>
  <c r="F4039" i="1"/>
  <c r="F4038" i="1"/>
  <c r="F4032" i="1"/>
  <c r="E4032" i="1"/>
  <c r="F4031" i="1"/>
  <c r="F4030" i="1"/>
  <c r="F4034" i="1" s="1"/>
  <c r="F4029" i="1"/>
  <c r="F4028" i="1"/>
  <c r="F4023" i="1"/>
  <c r="F4022" i="1"/>
  <c r="F4021" i="1"/>
  <c r="F4020" i="1"/>
  <c r="F4019" i="1"/>
  <c r="F4018" i="1"/>
  <c r="F4024" i="1" s="1"/>
  <c r="B4018" i="1"/>
  <c r="C4011" i="1"/>
  <c r="F3985" i="1"/>
  <c r="F3984" i="1"/>
  <c r="F3983" i="1"/>
  <c r="F3982" i="1"/>
  <c r="F3981" i="1"/>
  <c r="F3987" i="1" s="1"/>
  <c r="E3975" i="1"/>
  <c r="F3975" i="1" s="1"/>
  <c r="F3974" i="1"/>
  <c r="F3973" i="1"/>
  <c r="F3977" i="1" s="1"/>
  <c r="F3972" i="1"/>
  <c r="F3971" i="1"/>
  <c r="F3966" i="1"/>
  <c r="F3965" i="1"/>
  <c r="F3964" i="1"/>
  <c r="F3963" i="1"/>
  <c r="F3967" i="1" s="1"/>
  <c r="F3962" i="1"/>
  <c r="F3961" i="1"/>
  <c r="C3954" i="1"/>
  <c r="F3928" i="1"/>
  <c r="F3927" i="1"/>
  <c r="F3926" i="1"/>
  <c r="F3925" i="1"/>
  <c r="F3924" i="1"/>
  <c r="F3930" i="1" s="1"/>
  <c r="E3918" i="1"/>
  <c r="F3918" i="1" s="1"/>
  <c r="F3917" i="1"/>
  <c r="F3916" i="1"/>
  <c r="F3920" i="1" s="1"/>
  <c r="F3915" i="1"/>
  <c r="F3914" i="1"/>
  <c r="F3909" i="1"/>
  <c r="F3908" i="1"/>
  <c r="F3907" i="1"/>
  <c r="F3906" i="1"/>
  <c r="F3905" i="1"/>
  <c r="F3910" i="1" s="1"/>
  <c r="F3933" i="1" s="1"/>
  <c r="F3904" i="1"/>
  <c r="C3897" i="1"/>
  <c r="F3871" i="1"/>
  <c r="F3870" i="1"/>
  <c r="F3869" i="1"/>
  <c r="F3868" i="1"/>
  <c r="F3867" i="1"/>
  <c r="F3873" i="1" s="1"/>
  <c r="E3861" i="1"/>
  <c r="F3861" i="1" s="1"/>
  <c r="F3860" i="1"/>
  <c r="F3859" i="1"/>
  <c r="F3858" i="1"/>
  <c r="F3857" i="1"/>
  <c r="F3852" i="1"/>
  <c r="F3851" i="1"/>
  <c r="F3850" i="1"/>
  <c r="F3849" i="1"/>
  <c r="F3853" i="1" s="1"/>
  <c r="F3848" i="1"/>
  <c r="F3847" i="1"/>
  <c r="C3840" i="1"/>
  <c r="F3814" i="1"/>
  <c r="F3813" i="1"/>
  <c r="F3812" i="1"/>
  <c r="F3811" i="1"/>
  <c r="F3816" i="1" s="1"/>
  <c r="F3810" i="1"/>
  <c r="E3804" i="1"/>
  <c r="F3803" i="1"/>
  <c r="F3802" i="1"/>
  <c r="F3801" i="1"/>
  <c r="F3800" i="1"/>
  <c r="F3795" i="1"/>
  <c r="F3794" i="1"/>
  <c r="F3793" i="1"/>
  <c r="F3792" i="1"/>
  <c r="F3796" i="1" s="1"/>
  <c r="F3791" i="1"/>
  <c r="F3790" i="1"/>
  <c r="C3783" i="1"/>
  <c r="E3764" i="1"/>
  <c r="E3821" i="1" s="1"/>
  <c r="F3757" i="1"/>
  <c r="F3756" i="1"/>
  <c r="F3755" i="1"/>
  <c r="F3754" i="1"/>
  <c r="F3759" i="1" s="1"/>
  <c r="F3753" i="1"/>
  <c r="E3747" i="1"/>
  <c r="F3746" i="1"/>
  <c r="F3745" i="1"/>
  <c r="F3744" i="1"/>
  <c r="F3747" i="1" s="1"/>
  <c r="F3743" i="1"/>
  <c r="F3738" i="1"/>
  <c r="F3737" i="1"/>
  <c r="F3736" i="1"/>
  <c r="F3735" i="1"/>
  <c r="F3734" i="1"/>
  <c r="F3733" i="1"/>
  <c r="F3739" i="1" s="1"/>
  <c r="C3726" i="1"/>
  <c r="F3700" i="1"/>
  <c r="F3699" i="1"/>
  <c r="F3698" i="1"/>
  <c r="F3697" i="1"/>
  <c r="F3696" i="1"/>
  <c r="F3690" i="1"/>
  <c r="E3690" i="1"/>
  <c r="F3689" i="1"/>
  <c r="F3688" i="1"/>
  <c r="F3692" i="1" s="1"/>
  <c r="F3687" i="1"/>
  <c r="F3686" i="1"/>
  <c r="F3681" i="1"/>
  <c r="F3680" i="1"/>
  <c r="F3679" i="1"/>
  <c r="F3678" i="1"/>
  <c r="F3677" i="1"/>
  <c r="F3676" i="1"/>
  <c r="F3682" i="1" s="1"/>
  <c r="E3650" i="1"/>
  <c r="E3707" i="1" s="1"/>
  <c r="E3649" i="1"/>
  <c r="E3706" i="1" s="1"/>
  <c r="F3643" i="1"/>
  <c r="F3642" i="1"/>
  <c r="F3641" i="1"/>
  <c r="F3640" i="1"/>
  <c r="F3639" i="1"/>
  <c r="F3633" i="1"/>
  <c r="E3633" i="1"/>
  <c r="F3632" i="1"/>
  <c r="F3631" i="1"/>
  <c r="F3630" i="1"/>
  <c r="F3635" i="1" s="1"/>
  <c r="F3629" i="1"/>
  <c r="F3624" i="1"/>
  <c r="F3623" i="1"/>
  <c r="F3622" i="1"/>
  <c r="F3621" i="1"/>
  <c r="F3620" i="1"/>
  <c r="F3619" i="1"/>
  <c r="F3586" i="1"/>
  <c r="F3585" i="1"/>
  <c r="F3584" i="1"/>
  <c r="F3583" i="1"/>
  <c r="F3588" i="1" s="1"/>
  <c r="E3577" i="1"/>
  <c r="F3576" i="1"/>
  <c r="F3575" i="1"/>
  <c r="F3574" i="1"/>
  <c r="F3573" i="1"/>
  <c r="F3577" i="1" s="1"/>
  <c r="F3568" i="1"/>
  <c r="F3567" i="1"/>
  <c r="F3566" i="1"/>
  <c r="F3565" i="1"/>
  <c r="F3569" i="1" s="1"/>
  <c r="F3564" i="1"/>
  <c r="F3563" i="1"/>
  <c r="F3562" i="1"/>
  <c r="C3555" i="1"/>
  <c r="F3529" i="1"/>
  <c r="F3528" i="1"/>
  <c r="F3527" i="1"/>
  <c r="F3526" i="1"/>
  <c r="F3531" i="1" s="1"/>
  <c r="E3520" i="1"/>
  <c r="F3519" i="1"/>
  <c r="F3518" i="1"/>
  <c r="F3517" i="1"/>
  <c r="F3520" i="1" s="1"/>
  <c r="F3516" i="1"/>
  <c r="F3511" i="1"/>
  <c r="F3510" i="1"/>
  <c r="F3509" i="1"/>
  <c r="F3508" i="1"/>
  <c r="F3507" i="1"/>
  <c r="F3506" i="1"/>
  <c r="F3505" i="1"/>
  <c r="C3498" i="1"/>
  <c r="F3472" i="1"/>
  <c r="F3471" i="1"/>
  <c r="F3470" i="1"/>
  <c r="F3469" i="1"/>
  <c r="E3463" i="1"/>
  <c r="F3462" i="1"/>
  <c r="F3461" i="1"/>
  <c r="F3460" i="1"/>
  <c r="F3459" i="1"/>
  <c r="F3454" i="1"/>
  <c r="F3453" i="1"/>
  <c r="F3452" i="1"/>
  <c r="F3451" i="1"/>
  <c r="F3450" i="1"/>
  <c r="F3449" i="1"/>
  <c r="F3448" i="1"/>
  <c r="C3441" i="1"/>
  <c r="F3415" i="1"/>
  <c r="F3414" i="1"/>
  <c r="F3413" i="1"/>
  <c r="F3412" i="1"/>
  <c r="F3417" i="1" s="1"/>
  <c r="F3411" i="1"/>
  <c r="F3405" i="1"/>
  <c r="E3405" i="1"/>
  <c r="F3404" i="1"/>
  <c r="F3403" i="1"/>
  <c r="F3402" i="1"/>
  <c r="F3401" i="1"/>
  <c r="F3396" i="1"/>
  <c r="F3395" i="1"/>
  <c r="F3394" i="1"/>
  <c r="F3393" i="1"/>
  <c r="F3392" i="1"/>
  <c r="F3391" i="1"/>
  <c r="F3397" i="1" s="1"/>
  <c r="C3384" i="1"/>
  <c r="F3358" i="1"/>
  <c r="F3357" i="1"/>
  <c r="F3356" i="1"/>
  <c r="F3355" i="1"/>
  <c r="F3360" i="1" s="1"/>
  <c r="F3354" i="1"/>
  <c r="E3348" i="1"/>
  <c r="F3348" i="1" s="1"/>
  <c r="F3347" i="1"/>
  <c r="F3346" i="1"/>
  <c r="F3345" i="1"/>
  <c r="F3344" i="1"/>
  <c r="F3350" i="1" s="1"/>
  <c r="F3339" i="1"/>
  <c r="F3338" i="1"/>
  <c r="F3337" i="1"/>
  <c r="F3336" i="1"/>
  <c r="F3335" i="1"/>
  <c r="F3334" i="1"/>
  <c r="C3327" i="1"/>
  <c r="F3301" i="1"/>
  <c r="F3300" i="1"/>
  <c r="F3299" i="1"/>
  <c r="F3298" i="1"/>
  <c r="F3303" i="1" s="1"/>
  <c r="F3297" i="1"/>
  <c r="E3291" i="1"/>
  <c r="F3291" i="1" s="1"/>
  <c r="F3290" i="1"/>
  <c r="F3289" i="1"/>
  <c r="F3288" i="1"/>
  <c r="F3287" i="1"/>
  <c r="F3293" i="1" s="1"/>
  <c r="F3282" i="1"/>
  <c r="F3281" i="1"/>
  <c r="F3280" i="1"/>
  <c r="F3279" i="1"/>
  <c r="F3283" i="1" s="1"/>
  <c r="F3278" i="1"/>
  <c r="F3277" i="1"/>
  <c r="C3270" i="1"/>
  <c r="F3244" i="1"/>
  <c r="F3243" i="1"/>
  <c r="F3242" i="1"/>
  <c r="F3241" i="1"/>
  <c r="F3240" i="1"/>
  <c r="F3246" i="1" s="1"/>
  <c r="E3234" i="1"/>
  <c r="F3233" i="1"/>
  <c r="F3232" i="1"/>
  <c r="F3231" i="1"/>
  <c r="F3234" i="1" s="1"/>
  <c r="F3230" i="1"/>
  <c r="F3225" i="1"/>
  <c r="F3224" i="1"/>
  <c r="F3223" i="1"/>
  <c r="F3222" i="1"/>
  <c r="F3226" i="1" s="1"/>
  <c r="F3221" i="1"/>
  <c r="F3220" i="1"/>
  <c r="C3213" i="1"/>
  <c r="F3186" i="1"/>
  <c r="F3185" i="1"/>
  <c r="F3184" i="1"/>
  <c r="F3183" i="1"/>
  <c r="F3182" i="1"/>
  <c r="F3176" i="1"/>
  <c r="E3176" i="1"/>
  <c r="F3175" i="1"/>
  <c r="F3174" i="1"/>
  <c r="F3178" i="1" s="1"/>
  <c r="F3173" i="1"/>
  <c r="F3172" i="1"/>
  <c r="F3167" i="1"/>
  <c r="F3166" i="1"/>
  <c r="F3165" i="1"/>
  <c r="F3164" i="1"/>
  <c r="F3163" i="1"/>
  <c r="F3162" i="1"/>
  <c r="F3168" i="1" s="1"/>
  <c r="C3155" i="1"/>
  <c r="F3129" i="1"/>
  <c r="F3128" i="1"/>
  <c r="F3127" i="1"/>
  <c r="F3126" i="1"/>
  <c r="F3125" i="1"/>
  <c r="F3119" i="1"/>
  <c r="E3119" i="1"/>
  <c r="F3118" i="1"/>
  <c r="F3117" i="1"/>
  <c r="F3116" i="1"/>
  <c r="F3115" i="1"/>
  <c r="F3121" i="1" s="1"/>
  <c r="F3110" i="1"/>
  <c r="F3109" i="1"/>
  <c r="F3108" i="1"/>
  <c r="F3107" i="1"/>
  <c r="F3106" i="1"/>
  <c r="F3105" i="1"/>
  <c r="F3111" i="1" s="1"/>
  <c r="C3098" i="1"/>
  <c r="F3072" i="1"/>
  <c r="F3071" i="1"/>
  <c r="F3070" i="1"/>
  <c r="F3069" i="1"/>
  <c r="F3074" i="1" s="1"/>
  <c r="F3068" i="1"/>
  <c r="E3062" i="1"/>
  <c r="F3062" i="1" s="1"/>
  <c r="F3061" i="1"/>
  <c r="F3060" i="1"/>
  <c r="F3059" i="1"/>
  <c r="F3058" i="1"/>
  <c r="F3064" i="1" s="1"/>
  <c r="F3053" i="1"/>
  <c r="F3052" i="1"/>
  <c r="F3051" i="1"/>
  <c r="F3050" i="1"/>
  <c r="F3049" i="1"/>
  <c r="F3048" i="1"/>
  <c r="C3041" i="1"/>
  <c r="F3015" i="1"/>
  <c r="F3014" i="1"/>
  <c r="F3013" i="1"/>
  <c r="F3012" i="1"/>
  <c r="F3011" i="1"/>
  <c r="F3017" i="1" s="1"/>
  <c r="F3005" i="1"/>
  <c r="E3005" i="1"/>
  <c r="F3004" i="1"/>
  <c r="F3003" i="1"/>
  <c r="F3002" i="1"/>
  <c r="F3001" i="1"/>
  <c r="F2996" i="1"/>
  <c r="F2995" i="1"/>
  <c r="F2994" i="1"/>
  <c r="F2993" i="1"/>
  <c r="F2997" i="1" s="1"/>
  <c r="F2992" i="1"/>
  <c r="F2991" i="1"/>
  <c r="C2984" i="1"/>
  <c r="F2957" i="1"/>
  <c r="F2956" i="1"/>
  <c r="F2955" i="1"/>
  <c r="F2954" i="1"/>
  <c r="F2953" i="1"/>
  <c r="F2947" i="1"/>
  <c r="E2947" i="1"/>
  <c r="F2946" i="1"/>
  <c r="F2945" i="1"/>
  <c r="F2949" i="1" s="1"/>
  <c r="F2944" i="1"/>
  <c r="F2943" i="1"/>
  <c r="F2938" i="1"/>
  <c r="F2937" i="1"/>
  <c r="F2936" i="1"/>
  <c r="F2935" i="1"/>
  <c r="F2934" i="1"/>
  <c r="F2933" i="1"/>
  <c r="F2939" i="1" s="1"/>
  <c r="C2926" i="1"/>
  <c r="F2901" i="1"/>
  <c r="F2900" i="1"/>
  <c r="F2899" i="1"/>
  <c r="F2898" i="1"/>
  <c r="F2897" i="1"/>
  <c r="F2891" i="1"/>
  <c r="E2891" i="1"/>
  <c r="F2890" i="1"/>
  <c r="F2889" i="1"/>
  <c r="F2888" i="1"/>
  <c r="F2887" i="1"/>
  <c r="F2893" i="1" s="1"/>
  <c r="F2882" i="1"/>
  <c r="F2881" i="1"/>
  <c r="F2880" i="1"/>
  <c r="F2879" i="1"/>
  <c r="F2878" i="1"/>
  <c r="F2877" i="1"/>
  <c r="F2883" i="1" s="1"/>
  <c r="C2870" i="1"/>
  <c r="F2843" i="1"/>
  <c r="F2842" i="1"/>
  <c r="F2841" i="1"/>
  <c r="F2840" i="1"/>
  <c r="F2845" i="1" s="1"/>
  <c r="F2839" i="1"/>
  <c r="E2833" i="1"/>
  <c r="F2833" i="1" s="1"/>
  <c r="F2832" i="1"/>
  <c r="F2831" i="1"/>
  <c r="F2830" i="1"/>
  <c r="F2829" i="1"/>
  <c r="F2835" i="1" s="1"/>
  <c r="F2824" i="1"/>
  <c r="F2823" i="1"/>
  <c r="F2822" i="1"/>
  <c r="F2821" i="1"/>
  <c r="F2820" i="1"/>
  <c r="F2819" i="1"/>
  <c r="C2812" i="1"/>
  <c r="F2786" i="1"/>
  <c r="F2785" i="1"/>
  <c r="F2784" i="1"/>
  <c r="F2783" i="1"/>
  <c r="F2782" i="1"/>
  <c r="F2788" i="1" s="1"/>
  <c r="E2776" i="1"/>
  <c r="F2776" i="1" s="1"/>
  <c r="F2775" i="1"/>
  <c r="F2774" i="1"/>
  <c r="F2773" i="1"/>
  <c r="F2772" i="1"/>
  <c r="F2767" i="1"/>
  <c r="F2766" i="1"/>
  <c r="F2765" i="1"/>
  <c r="F2764" i="1"/>
  <c r="F2768" i="1" s="1"/>
  <c r="F2763" i="1"/>
  <c r="F2762" i="1"/>
  <c r="C2755" i="1"/>
  <c r="F2728" i="1"/>
  <c r="F2727" i="1"/>
  <c r="F2726" i="1"/>
  <c r="F2725" i="1"/>
  <c r="F2724" i="1"/>
  <c r="F2730" i="1" s="1"/>
  <c r="F2718" i="1"/>
  <c r="E2718" i="1"/>
  <c r="F2717" i="1"/>
  <c r="F2716" i="1"/>
  <c r="F2720" i="1" s="1"/>
  <c r="F2715" i="1"/>
  <c r="F2714" i="1"/>
  <c r="F2709" i="1"/>
  <c r="F2708" i="1"/>
  <c r="F2707" i="1"/>
  <c r="F2706" i="1"/>
  <c r="F2705" i="1"/>
  <c r="F2704" i="1"/>
  <c r="C2697" i="1"/>
  <c r="F2671" i="1"/>
  <c r="F2670" i="1"/>
  <c r="F2669" i="1"/>
  <c r="F2668" i="1"/>
  <c r="F2673" i="1" s="1"/>
  <c r="F2667" i="1"/>
  <c r="F2661" i="1"/>
  <c r="E2661" i="1"/>
  <c r="F2660" i="1"/>
  <c r="F2659" i="1"/>
  <c r="F2658" i="1"/>
  <c r="F2657" i="1"/>
  <c r="F2652" i="1"/>
  <c r="F2651" i="1"/>
  <c r="F2650" i="1"/>
  <c r="F2649" i="1"/>
  <c r="F2648" i="1"/>
  <c r="F2647" i="1"/>
  <c r="F2653" i="1" s="1"/>
  <c r="C2640" i="1"/>
  <c r="F2614" i="1"/>
  <c r="F2613" i="1"/>
  <c r="F2612" i="1"/>
  <c r="F2611" i="1"/>
  <c r="F2616" i="1" s="1"/>
  <c r="F2610" i="1"/>
  <c r="E2604" i="1"/>
  <c r="F2604" i="1" s="1"/>
  <c r="F2603" i="1"/>
  <c r="F2602" i="1"/>
  <c r="F2601" i="1"/>
  <c r="F2600" i="1"/>
  <c r="F2606" i="1" s="1"/>
  <c r="F2595" i="1"/>
  <c r="F2594" i="1"/>
  <c r="F2593" i="1"/>
  <c r="F2592" i="1"/>
  <c r="F2591" i="1"/>
  <c r="F2590" i="1"/>
  <c r="F2589" i="1"/>
  <c r="F2588" i="1"/>
  <c r="F2587" i="1"/>
  <c r="F2586" i="1"/>
  <c r="F2585" i="1"/>
  <c r="F2596" i="1" s="1"/>
  <c r="C2578" i="1"/>
  <c r="F2552" i="1"/>
  <c r="F2551" i="1"/>
  <c r="F2550" i="1"/>
  <c r="F2549" i="1"/>
  <c r="F2548" i="1"/>
  <c r="F2554" i="1" s="1"/>
  <c r="E2542" i="1"/>
  <c r="F2542" i="1" s="1"/>
  <c r="F2541" i="1"/>
  <c r="F2540" i="1"/>
  <c r="F2539" i="1"/>
  <c r="F2538" i="1"/>
  <c r="F2533" i="1"/>
  <c r="F2532" i="1"/>
  <c r="F2531" i="1"/>
  <c r="F2530" i="1"/>
  <c r="F2534" i="1" s="1"/>
  <c r="F2529" i="1"/>
  <c r="F2528" i="1"/>
  <c r="C2521" i="1"/>
  <c r="F2495" i="1"/>
  <c r="F2494" i="1"/>
  <c r="F2493" i="1"/>
  <c r="F2492" i="1"/>
  <c r="F2491" i="1"/>
  <c r="F2487" i="1"/>
  <c r="E2485" i="1"/>
  <c r="F2485" i="1" s="1"/>
  <c r="F2484" i="1"/>
  <c r="F2483" i="1"/>
  <c r="F2482" i="1"/>
  <c r="F2481" i="1"/>
  <c r="F2476" i="1"/>
  <c r="F2475" i="1"/>
  <c r="F2474" i="1"/>
  <c r="F2473" i="1"/>
  <c r="F2477" i="1" s="1"/>
  <c r="F2472" i="1"/>
  <c r="F2471" i="1"/>
  <c r="C2464" i="1"/>
  <c r="E2444" i="1"/>
  <c r="E2443" i="1"/>
  <c r="F2437" i="1"/>
  <c r="F2436" i="1"/>
  <c r="F2435" i="1"/>
  <c r="F2434" i="1"/>
  <c r="F2433" i="1"/>
  <c r="F2439" i="1" s="1"/>
  <c r="F2427" i="1"/>
  <c r="E2427" i="1"/>
  <c r="F2426" i="1"/>
  <c r="F2425" i="1"/>
  <c r="F2424" i="1"/>
  <c r="F2429" i="1" s="1"/>
  <c r="F2423" i="1"/>
  <c r="F2418" i="1"/>
  <c r="F2417" i="1"/>
  <c r="F2416" i="1"/>
  <c r="F2415" i="1"/>
  <c r="F2419" i="1" s="1"/>
  <c r="F2442" i="1" s="1"/>
  <c r="F2414" i="1"/>
  <c r="F2413" i="1"/>
  <c r="C2406" i="1"/>
  <c r="F2380" i="1"/>
  <c r="F2379" i="1"/>
  <c r="F2378" i="1"/>
  <c r="F2377" i="1"/>
  <c r="F2376" i="1"/>
  <c r="F2372" i="1"/>
  <c r="E2370" i="1"/>
  <c r="F2369" i="1"/>
  <c r="F2368" i="1"/>
  <c r="F2367" i="1"/>
  <c r="F2366" i="1"/>
  <c r="F2370" i="1" s="1"/>
  <c r="F2361" i="1"/>
  <c r="F2360" i="1"/>
  <c r="F2359" i="1"/>
  <c r="F2358" i="1"/>
  <c r="F2357" i="1"/>
  <c r="F2356" i="1"/>
  <c r="C2349" i="1"/>
  <c r="F2323" i="1"/>
  <c r="F2322" i="1"/>
  <c r="F2321" i="1"/>
  <c r="F2320" i="1"/>
  <c r="F2319" i="1"/>
  <c r="F2313" i="1"/>
  <c r="E2313" i="1"/>
  <c r="F2312" i="1"/>
  <c r="F2311" i="1"/>
  <c r="F2310" i="1"/>
  <c r="F2309" i="1"/>
  <c r="F2304" i="1"/>
  <c r="F2303" i="1"/>
  <c r="F2302" i="1"/>
  <c r="F2301" i="1"/>
  <c r="F2300" i="1"/>
  <c r="F2299" i="1"/>
  <c r="F2305" i="1" s="1"/>
  <c r="C2292" i="1"/>
  <c r="F2265" i="1"/>
  <c r="F2264" i="1"/>
  <c r="F2263" i="1"/>
  <c r="F2262" i="1"/>
  <c r="F2267" i="1" s="1"/>
  <c r="F2261" i="1"/>
  <c r="E2255" i="1"/>
  <c r="F2254" i="1"/>
  <c r="F2253" i="1"/>
  <c r="F2252" i="1"/>
  <c r="F2251" i="1"/>
  <c r="F2246" i="1"/>
  <c r="F2245" i="1"/>
  <c r="F2244" i="1"/>
  <c r="F2243" i="1"/>
  <c r="F2242" i="1"/>
  <c r="F2241" i="1"/>
  <c r="F2247" i="1" s="1"/>
  <c r="C2234" i="1"/>
  <c r="F2208" i="1"/>
  <c r="F2207" i="1"/>
  <c r="F2206" i="1"/>
  <c r="F2205" i="1"/>
  <c r="F2204" i="1"/>
  <c r="F2210" i="1" s="1"/>
  <c r="F2198" i="1"/>
  <c r="E2198" i="1"/>
  <c r="F2197" i="1"/>
  <c r="F2196" i="1"/>
  <c r="F2195" i="1"/>
  <c r="F2194" i="1"/>
  <c r="F2200" i="1" s="1"/>
  <c r="F2189" i="1"/>
  <c r="F2188" i="1"/>
  <c r="F2187" i="1"/>
  <c r="F2186" i="1"/>
  <c r="F2190" i="1" s="1"/>
  <c r="F2213" i="1" s="1"/>
  <c r="F2185" i="1"/>
  <c r="F2184" i="1"/>
  <c r="C2177" i="1"/>
  <c r="F2150" i="1"/>
  <c r="F2149" i="1"/>
  <c r="F2148" i="1"/>
  <c r="F2147" i="1"/>
  <c r="F2152" i="1" s="1"/>
  <c r="F2146" i="1"/>
  <c r="E2140" i="1"/>
  <c r="F2140" i="1" s="1"/>
  <c r="F2139" i="1"/>
  <c r="F2138" i="1"/>
  <c r="F2142" i="1" s="1"/>
  <c r="F2137" i="1"/>
  <c r="F2136" i="1"/>
  <c r="F2131" i="1"/>
  <c r="F2130" i="1"/>
  <c r="F2129" i="1"/>
  <c r="F2128" i="1"/>
  <c r="F2127" i="1"/>
  <c r="F2126" i="1"/>
  <c r="F2132" i="1" s="1"/>
  <c r="C2119" i="1"/>
  <c r="F2093" i="1"/>
  <c r="F2092" i="1"/>
  <c r="F2091" i="1"/>
  <c r="F2090" i="1"/>
  <c r="F2089" i="1"/>
  <c r="F2095" i="1" s="1"/>
  <c r="E2083" i="1"/>
  <c r="F2083" i="1" s="1"/>
  <c r="F2082" i="1"/>
  <c r="F2081" i="1"/>
  <c r="F2085" i="1" s="1"/>
  <c r="F2080" i="1"/>
  <c r="F2079" i="1"/>
  <c r="F2074" i="1"/>
  <c r="F2073" i="1"/>
  <c r="F2072" i="1"/>
  <c r="F2071" i="1"/>
  <c r="F2070" i="1"/>
  <c r="F2069" i="1"/>
  <c r="F2075" i="1" s="1"/>
  <c r="C2062" i="1"/>
  <c r="E2043" i="1"/>
  <c r="F2036" i="1"/>
  <c r="F2035" i="1"/>
  <c r="F2034" i="1"/>
  <c r="F2033" i="1"/>
  <c r="F2032" i="1"/>
  <c r="F2028" i="1"/>
  <c r="E2026" i="1"/>
  <c r="F2026" i="1" s="1"/>
  <c r="F2025" i="1"/>
  <c r="F2024" i="1"/>
  <c r="F2023" i="1"/>
  <c r="F2022" i="1"/>
  <c r="F2017" i="1"/>
  <c r="F2016" i="1"/>
  <c r="F2015" i="1"/>
  <c r="F2014" i="1"/>
  <c r="F2013" i="1"/>
  <c r="F2012" i="1"/>
  <c r="C2005" i="1"/>
  <c r="F1979" i="1"/>
  <c r="F1978" i="1"/>
  <c r="F1977" i="1"/>
  <c r="F1976" i="1"/>
  <c r="F1975" i="1"/>
  <c r="F1981" i="1" s="1"/>
  <c r="E1969" i="1"/>
  <c r="F1969" i="1" s="1"/>
  <c r="F1968" i="1"/>
  <c r="F1967" i="1"/>
  <c r="F1966" i="1"/>
  <c r="F1965" i="1"/>
  <c r="F1960" i="1"/>
  <c r="F1959" i="1"/>
  <c r="F1958" i="1"/>
  <c r="F1957" i="1"/>
  <c r="F1961" i="1" s="1"/>
  <c r="F1956" i="1"/>
  <c r="F1955" i="1"/>
  <c r="C1948" i="1"/>
  <c r="E1929" i="1"/>
  <c r="E1928" i="1"/>
  <c r="E2100" i="1" s="1"/>
  <c r="F1922" i="1"/>
  <c r="F1921" i="1"/>
  <c r="F1920" i="1"/>
  <c r="F1919" i="1"/>
  <c r="F1924" i="1" s="1"/>
  <c r="F1918" i="1"/>
  <c r="E1912" i="1"/>
  <c r="F1911" i="1"/>
  <c r="F1910" i="1"/>
  <c r="F1909" i="1"/>
  <c r="F1908" i="1"/>
  <c r="F1903" i="1"/>
  <c r="F1902" i="1"/>
  <c r="F1901" i="1"/>
  <c r="F1900" i="1"/>
  <c r="F1899" i="1"/>
  <c r="F1898" i="1"/>
  <c r="C1891" i="1"/>
  <c r="F1865" i="1"/>
  <c r="F1864" i="1"/>
  <c r="F1863" i="1"/>
  <c r="F1862" i="1"/>
  <c r="F1861" i="1"/>
  <c r="F1867" i="1" s="1"/>
  <c r="E1855" i="1"/>
  <c r="F1855" i="1" s="1"/>
  <c r="F1854" i="1"/>
  <c r="F1853" i="1"/>
  <c r="F1852" i="1"/>
  <c r="F1851" i="1"/>
  <c r="F1857" i="1" s="1"/>
  <c r="F1846" i="1"/>
  <c r="F1845" i="1"/>
  <c r="F1844" i="1"/>
  <c r="F1843" i="1"/>
  <c r="F1847" i="1" s="1"/>
  <c r="F1870" i="1" s="1"/>
  <c r="F1842" i="1"/>
  <c r="F1841" i="1"/>
  <c r="C1834" i="1"/>
  <c r="E1814" i="1"/>
  <c r="E1986" i="1" s="1"/>
  <c r="E1813" i="1"/>
  <c r="E1985" i="1" s="1"/>
  <c r="F1807" i="1"/>
  <c r="F1806" i="1"/>
  <c r="F1805" i="1"/>
  <c r="F1804" i="1"/>
  <c r="F1809" i="1" s="1"/>
  <c r="F1803" i="1"/>
  <c r="E1797" i="1"/>
  <c r="F1796" i="1"/>
  <c r="F1795" i="1"/>
  <c r="F1794" i="1"/>
  <c r="F1793" i="1"/>
  <c r="F1788" i="1"/>
  <c r="F1787" i="1"/>
  <c r="F1786" i="1"/>
  <c r="F1785" i="1"/>
  <c r="F1784" i="1"/>
  <c r="F1783" i="1"/>
  <c r="C1776" i="1"/>
  <c r="E1757" i="1"/>
  <c r="E1756" i="1"/>
  <c r="F1750" i="1"/>
  <c r="F1749" i="1"/>
  <c r="F1748" i="1"/>
  <c r="F1747" i="1"/>
  <c r="F1746" i="1"/>
  <c r="F1740" i="1"/>
  <c r="E1740" i="1"/>
  <c r="F1739" i="1"/>
  <c r="F1738" i="1"/>
  <c r="F1737" i="1"/>
  <c r="F1736" i="1"/>
  <c r="F1742" i="1" s="1"/>
  <c r="F1731" i="1"/>
  <c r="F1730" i="1"/>
  <c r="F1729" i="1"/>
  <c r="F1728" i="1"/>
  <c r="F1727" i="1"/>
  <c r="F1726" i="1"/>
  <c r="F1732" i="1" s="1"/>
  <c r="C1719" i="1"/>
  <c r="F1693" i="1"/>
  <c r="F1692" i="1"/>
  <c r="F1691" i="1"/>
  <c r="F1690" i="1"/>
  <c r="F1695" i="1" s="1"/>
  <c r="F1689" i="1"/>
  <c r="E1683" i="1"/>
  <c r="F1682" i="1"/>
  <c r="F1681" i="1"/>
  <c r="F1680" i="1"/>
  <c r="F1679" i="1"/>
  <c r="F1674" i="1"/>
  <c r="F1673" i="1"/>
  <c r="F1672" i="1"/>
  <c r="F1671" i="1"/>
  <c r="F1670" i="1"/>
  <c r="F1669" i="1"/>
  <c r="C1662" i="1"/>
  <c r="F1636" i="1"/>
  <c r="F1635" i="1"/>
  <c r="F1634" i="1"/>
  <c r="F1633" i="1"/>
  <c r="F1632" i="1"/>
  <c r="F1638" i="1" s="1"/>
  <c r="E1626" i="1"/>
  <c r="F1625" i="1"/>
  <c r="F1624" i="1"/>
  <c r="F1623" i="1"/>
  <c r="F1626" i="1" s="1"/>
  <c r="F1622" i="1"/>
  <c r="F1628" i="1" s="1"/>
  <c r="F1617" i="1"/>
  <c r="F1616" i="1"/>
  <c r="F1615" i="1"/>
  <c r="F1614" i="1"/>
  <c r="F1618" i="1" s="1"/>
  <c r="F1641" i="1" s="1"/>
  <c r="F1613" i="1"/>
  <c r="F1612" i="1"/>
  <c r="C1605" i="1"/>
  <c r="F1579" i="1"/>
  <c r="F1578" i="1"/>
  <c r="F1577" i="1"/>
  <c r="F1576" i="1"/>
  <c r="F1575" i="1"/>
  <c r="E1569" i="1"/>
  <c r="F1569" i="1" s="1"/>
  <c r="F1568" i="1"/>
  <c r="F1567" i="1"/>
  <c r="F1571" i="1" s="1"/>
  <c r="F1566" i="1"/>
  <c r="F1565" i="1"/>
  <c r="F1560" i="1"/>
  <c r="F1559" i="1"/>
  <c r="F1558" i="1"/>
  <c r="F1557" i="1"/>
  <c r="F1556" i="1"/>
  <c r="F1555" i="1"/>
  <c r="F1561" i="1" s="1"/>
  <c r="C1548" i="1"/>
  <c r="F1522" i="1"/>
  <c r="F1521" i="1"/>
  <c r="F1520" i="1"/>
  <c r="F1519" i="1"/>
  <c r="F1518" i="1"/>
  <c r="F1524" i="1" s="1"/>
  <c r="E1512" i="1"/>
  <c r="F1511" i="1"/>
  <c r="F1510" i="1"/>
  <c r="F1509" i="1"/>
  <c r="F1512" i="1" s="1"/>
  <c r="F1508" i="1"/>
  <c r="F1503" i="1"/>
  <c r="F1502" i="1"/>
  <c r="F1501" i="1"/>
  <c r="F1500" i="1"/>
  <c r="F1499" i="1"/>
  <c r="F1498" i="1"/>
  <c r="F1504" i="1" s="1"/>
  <c r="C1491" i="1"/>
  <c r="F1464" i="1"/>
  <c r="F1463" i="1"/>
  <c r="F1462" i="1"/>
  <c r="F1461" i="1"/>
  <c r="F1466" i="1" s="1"/>
  <c r="F1460" i="1"/>
  <c r="E1454" i="1"/>
  <c r="F1454" i="1" s="1"/>
  <c r="F1453" i="1"/>
  <c r="F1452" i="1"/>
  <c r="F1451" i="1"/>
  <c r="F1450" i="1"/>
  <c r="F1456" i="1" s="1"/>
  <c r="F1445" i="1"/>
  <c r="F1444" i="1"/>
  <c r="F1443" i="1"/>
  <c r="F1442" i="1"/>
  <c r="F1441" i="1"/>
  <c r="F1440" i="1"/>
  <c r="C1433" i="1"/>
  <c r="F1407" i="1"/>
  <c r="F1406" i="1"/>
  <c r="F1405" i="1"/>
  <c r="F1404" i="1"/>
  <c r="F1403" i="1"/>
  <c r="F1409" i="1" s="1"/>
  <c r="E1397" i="1"/>
  <c r="F1396" i="1"/>
  <c r="F1395" i="1"/>
  <c r="F1394" i="1"/>
  <c r="F1393" i="1"/>
  <c r="F1388" i="1"/>
  <c r="F1387" i="1"/>
  <c r="F1386" i="1"/>
  <c r="F1385" i="1"/>
  <c r="F1389" i="1" s="1"/>
  <c r="C1378" i="1"/>
  <c r="E1358" i="1"/>
  <c r="F1352" i="1"/>
  <c r="F1351" i="1"/>
  <c r="F1350" i="1"/>
  <c r="F1349" i="1"/>
  <c r="F1354" i="1" s="1"/>
  <c r="F1348" i="1"/>
  <c r="E1342" i="1"/>
  <c r="F1341" i="1"/>
  <c r="F1340" i="1"/>
  <c r="F1339" i="1"/>
  <c r="F1338" i="1"/>
  <c r="F1333" i="1"/>
  <c r="F1332" i="1"/>
  <c r="F1331" i="1"/>
  <c r="F1330" i="1"/>
  <c r="F1329" i="1"/>
  <c r="F1328" i="1"/>
  <c r="C1321" i="1"/>
  <c r="E1302" i="1"/>
  <c r="E1359" i="1" s="1"/>
  <c r="E1301" i="1"/>
  <c r="F1295" i="1"/>
  <c r="F1294" i="1"/>
  <c r="F1293" i="1"/>
  <c r="F1292" i="1"/>
  <c r="F1291" i="1"/>
  <c r="F1297" i="1" s="1"/>
  <c r="F1285" i="1"/>
  <c r="E1285" i="1"/>
  <c r="F1284" i="1"/>
  <c r="F1283" i="1"/>
  <c r="F1282" i="1"/>
  <c r="F1281" i="1"/>
  <c r="F1276" i="1"/>
  <c r="F1275" i="1"/>
  <c r="F1274" i="1"/>
  <c r="F1273" i="1"/>
  <c r="F1277" i="1" s="1"/>
  <c r="F1272" i="1"/>
  <c r="F1271" i="1"/>
  <c r="C1264" i="1"/>
  <c r="F1238" i="1"/>
  <c r="F1237" i="1"/>
  <c r="F1236" i="1"/>
  <c r="F1235" i="1"/>
  <c r="F1234" i="1"/>
  <c r="F1230" i="1"/>
  <c r="E1228" i="1"/>
  <c r="F1228" i="1" s="1"/>
  <c r="F1227" i="1"/>
  <c r="F1226" i="1"/>
  <c r="F1225" i="1"/>
  <c r="F1224" i="1"/>
  <c r="F1219" i="1"/>
  <c r="F1218" i="1"/>
  <c r="F1217" i="1"/>
  <c r="F1216" i="1"/>
  <c r="F1215" i="1"/>
  <c r="F1214" i="1"/>
  <c r="C1207" i="1"/>
  <c r="F1181" i="1"/>
  <c r="F1180" i="1"/>
  <c r="F1179" i="1"/>
  <c r="F1178" i="1"/>
  <c r="F1177" i="1"/>
  <c r="E1171" i="1"/>
  <c r="F1170" i="1"/>
  <c r="F1169" i="1"/>
  <c r="F1173" i="1" s="1"/>
  <c r="F1168" i="1"/>
  <c r="F1167" i="1"/>
  <c r="F1171" i="1" s="1"/>
  <c r="F1162" i="1"/>
  <c r="F1161" i="1"/>
  <c r="F1160" i="1"/>
  <c r="F1159" i="1"/>
  <c r="F1158" i="1"/>
  <c r="F1157" i="1"/>
  <c r="F1163" i="1" s="1"/>
  <c r="C1150" i="1"/>
  <c r="E1131" i="1"/>
  <c r="E1188" i="1" s="1"/>
  <c r="F1124" i="1"/>
  <c r="F1123" i="1"/>
  <c r="F1122" i="1"/>
  <c r="F1121" i="1"/>
  <c r="F1126" i="1" s="1"/>
  <c r="F1120" i="1"/>
  <c r="E1114" i="1"/>
  <c r="F1113" i="1"/>
  <c r="F1112" i="1"/>
  <c r="F1111" i="1"/>
  <c r="F1110" i="1"/>
  <c r="F1114" i="1" s="1"/>
  <c r="F1105" i="1"/>
  <c r="F1104" i="1"/>
  <c r="F1103" i="1"/>
  <c r="F1102" i="1"/>
  <c r="F1101" i="1"/>
  <c r="F1100" i="1"/>
  <c r="F1106" i="1" s="1"/>
  <c r="C1093" i="1"/>
  <c r="F1067" i="1"/>
  <c r="F1066" i="1"/>
  <c r="F1065" i="1"/>
  <c r="F1064" i="1"/>
  <c r="F1063" i="1"/>
  <c r="F1069" i="1" s="1"/>
  <c r="F1057" i="1"/>
  <c r="E1057" i="1"/>
  <c r="F1056" i="1"/>
  <c r="F1055" i="1"/>
  <c r="F1054" i="1"/>
  <c r="F1053" i="1"/>
  <c r="F1059" i="1" s="1"/>
  <c r="F1048" i="1"/>
  <c r="F1047" i="1"/>
  <c r="F1046" i="1"/>
  <c r="F1045" i="1"/>
  <c r="F1044" i="1"/>
  <c r="F1043" i="1"/>
  <c r="F1049" i="1" s="1"/>
  <c r="F1072" i="1" s="1"/>
  <c r="C1036" i="1"/>
  <c r="F1010" i="1"/>
  <c r="F1009" i="1"/>
  <c r="F1008" i="1"/>
  <c r="F1007" i="1"/>
  <c r="F1012" i="1" s="1"/>
  <c r="F1006" i="1"/>
  <c r="E1000" i="1"/>
  <c r="F1000" i="1" s="1"/>
  <c r="F999" i="1"/>
  <c r="F998" i="1"/>
  <c r="F997" i="1"/>
  <c r="F996" i="1"/>
  <c r="F1002" i="1" s="1"/>
  <c r="F991" i="1"/>
  <c r="F990" i="1"/>
  <c r="F989" i="1"/>
  <c r="F988" i="1"/>
  <c r="F987" i="1"/>
  <c r="F986" i="1"/>
  <c r="F992" i="1" s="1"/>
  <c r="F1015" i="1" s="1"/>
  <c r="C979" i="1"/>
  <c r="F953" i="1"/>
  <c r="F952" i="1"/>
  <c r="F951" i="1"/>
  <c r="F950" i="1"/>
  <c r="F949" i="1"/>
  <c r="F955" i="1" s="1"/>
  <c r="F943" i="1"/>
  <c r="E943" i="1"/>
  <c r="F942" i="1"/>
  <c r="F941" i="1"/>
  <c r="F940" i="1"/>
  <c r="F939" i="1"/>
  <c r="F945" i="1" s="1"/>
  <c r="F934" i="1"/>
  <c r="F933" i="1"/>
  <c r="F932" i="1"/>
  <c r="F931" i="1"/>
  <c r="F935" i="1" s="1"/>
  <c r="F958" i="1" s="1"/>
  <c r="F930" i="1"/>
  <c r="F929" i="1"/>
  <c r="C922" i="1"/>
  <c r="F896" i="1"/>
  <c r="F895" i="1"/>
  <c r="F894" i="1"/>
  <c r="F893" i="1"/>
  <c r="F898" i="1" s="1"/>
  <c r="F892" i="1"/>
  <c r="E886" i="1"/>
  <c r="F886" i="1" s="1"/>
  <c r="F885" i="1"/>
  <c r="F884" i="1"/>
  <c r="F883" i="1"/>
  <c r="F882" i="1"/>
  <c r="F888" i="1" s="1"/>
  <c r="F877" i="1"/>
  <c r="F876" i="1"/>
  <c r="F875" i="1"/>
  <c r="F874" i="1"/>
  <c r="F873" i="1"/>
  <c r="F872" i="1"/>
  <c r="F878" i="1" s="1"/>
  <c r="F901" i="1" s="1"/>
  <c r="C867" i="1"/>
  <c r="C865" i="1"/>
  <c r="E846" i="1"/>
  <c r="E845" i="1"/>
  <c r="F839" i="1"/>
  <c r="F838" i="1"/>
  <c r="F837" i="1"/>
  <c r="F836" i="1"/>
  <c r="F841" i="1" s="1"/>
  <c r="F835" i="1"/>
  <c r="E829" i="1"/>
  <c r="F828" i="1"/>
  <c r="F827" i="1"/>
  <c r="F831" i="1" s="1"/>
  <c r="F826" i="1"/>
  <c r="F825" i="1"/>
  <c r="F829" i="1" s="1"/>
  <c r="F820" i="1"/>
  <c r="F819" i="1"/>
  <c r="F818" i="1"/>
  <c r="F817" i="1"/>
  <c r="F816" i="1"/>
  <c r="F815" i="1"/>
  <c r="F821" i="1" s="1"/>
  <c r="F844" i="1" s="1"/>
  <c r="C808" i="1"/>
  <c r="F782" i="1"/>
  <c r="F781" i="1"/>
  <c r="F780" i="1"/>
  <c r="F779" i="1"/>
  <c r="F778" i="1"/>
  <c r="F784" i="1" s="1"/>
  <c r="F772" i="1"/>
  <c r="E772" i="1"/>
  <c r="F771" i="1"/>
  <c r="F770" i="1"/>
  <c r="F769" i="1"/>
  <c r="F768" i="1"/>
  <c r="F774" i="1" s="1"/>
  <c r="F763" i="1"/>
  <c r="F762" i="1"/>
  <c r="F761" i="1"/>
  <c r="F760" i="1"/>
  <c r="F759" i="1"/>
  <c r="F758" i="1"/>
  <c r="F764" i="1" s="1"/>
  <c r="C751" i="1"/>
  <c r="E730" i="1"/>
  <c r="E902" i="1" s="1"/>
  <c r="F724" i="1"/>
  <c r="F723" i="1"/>
  <c r="F722" i="1"/>
  <c r="F721" i="1"/>
  <c r="F726" i="1" s="1"/>
  <c r="F720" i="1"/>
  <c r="E714" i="1"/>
  <c r="F713" i="1"/>
  <c r="F712" i="1"/>
  <c r="F716" i="1" s="1"/>
  <c r="F711" i="1"/>
  <c r="F710" i="1"/>
  <c r="F714" i="1" s="1"/>
  <c r="F705" i="1"/>
  <c r="F704" i="1"/>
  <c r="F703" i="1"/>
  <c r="F702" i="1"/>
  <c r="F701" i="1"/>
  <c r="F700" i="1"/>
  <c r="F706" i="1" s="1"/>
  <c r="F729" i="1" s="1"/>
  <c r="C695" i="1"/>
  <c r="C693" i="1"/>
  <c r="F667" i="1"/>
  <c r="F666" i="1"/>
  <c r="F665" i="1"/>
  <c r="F664" i="1"/>
  <c r="F669" i="1" s="1"/>
  <c r="F663" i="1"/>
  <c r="E657" i="1"/>
  <c r="F657" i="1" s="1"/>
  <c r="F656" i="1"/>
  <c r="F655" i="1"/>
  <c r="F654" i="1"/>
  <c r="F653" i="1"/>
  <c r="F648" i="1"/>
  <c r="F647" i="1"/>
  <c r="F646" i="1"/>
  <c r="F645" i="1"/>
  <c r="F644" i="1"/>
  <c r="F643" i="1"/>
  <c r="F649" i="1" s="1"/>
  <c r="C636" i="1"/>
  <c r="E617" i="1"/>
  <c r="E731" i="1" s="1"/>
  <c r="E903" i="1" s="1"/>
  <c r="E616" i="1"/>
  <c r="F610" i="1"/>
  <c r="F609" i="1"/>
  <c r="F608" i="1"/>
  <c r="F607" i="1"/>
  <c r="F606" i="1"/>
  <c r="F612" i="1" s="1"/>
  <c r="F600" i="1"/>
  <c r="E600" i="1"/>
  <c r="F599" i="1"/>
  <c r="F598" i="1"/>
  <c r="F597" i="1"/>
  <c r="F596" i="1"/>
  <c r="F602" i="1" s="1"/>
  <c r="F591" i="1"/>
  <c r="F590" i="1"/>
  <c r="F589" i="1"/>
  <c r="F588" i="1"/>
  <c r="F592" i="1" s="1"/>
  <c r="F615" i="1" s="1"/>
  <c r="F587" i="1"/>
  <c r="F586" i="1"/>
  <c r="C581" i="1"/>
  <c r="C579" i="1"/>
  <c r="F553" i="1"/>
  <c r="F552" i="1"/>
  <c r="F551" i="1"/>
  <c r="F550" i="1"/>
  <c r="F549" i="1"/>
  <c r="F555" i="1" s="1"/>
  <c r="F543" i="1"/>
  <c r="E543" i="1"/>
  <c r="F542" i="1"/>
  <c r="F541" i="1"/>
  <c r="F540" i="1"/>
  <c r="F539" i="1"/>
  <c r="F545" i="1" s="1"/>
  <c r="F534" i="1"/>
  <c r="F533" i="1"/>
  <c r="F532" i="1"/>
  <c r="F531" i="1"/>
  <c r="F535" i="1" s="1"/>
  <c r="F530" i="1"/>
  <c r="F529" i="1"/>
  <c r="C524" i="1"/>
  <c r="C522" i="1"/>
  <c r="F495" i="1"/>
  <c r="F494" i="1"/>
  <c r="F493" i="1"/>
  <c r="F492" i="1"/>
  <c r="F491" i="1"/>
  <c r="F497" i="1" s="1"/>
  <c r="F485" i="1"/>
  <c r="E485" i="1"/>
  <c r="F484" i="1"/>
  <c r="F483" i="1"/>
  <c r="F482" i="1"/>
  <c r="F481" i="1"/>
  <c r="F487" i="1" s="1"/>
  <c r="F476" i="1"/>
  <c r="F475" i="1"/>
  <c r="F474" i="1"/>
  <c r="F473" i="1"/>
  <c r="F472" i="1"/>
  <c r="F471" i="1"/>
  <c r="F477" i="1" s="1"/>
  <c r="F500" i="1" s="1"/>
  <c r="F438" i="1"/>
  <c r="F437" i="1"/>
  <c r="F436" i="1"/>
  <c r="F435" i="1"/>
  <c r="F440" i="1" s="1"/>
  <c r="F434" i="1"/>
  <c r="E428" i="1"/>
  <c r="F428" i="1" s="1"/>
  <c r="F427" i="1"/>
  <c r="F426" i="1"/>
  <c r="F425" i="1"/>
  <c r="F424" i="1"/>
  <c r="F430" i="1" s="1"/>
  <c r="F419" i="1"/>
  <c r="F418" i="1"/>
  <c r="F417" i="1"/>
  <c r="F416" i="1"/>
  <c r="F415" i="1"/>
  <c r="F414" i="1"/>
  <c r="F420" i="1" s="1"/>
  <c r="F443" i="1" s="1"/>
  <c r="F381" i="1"/>
  <c r="F380" i="1"/>
  <c r="F379" i="1"/>
  <c r="F378" i="1"/>
  <c r="F377" i="1"/>
  <c r="F383" i="1" s="1"/>
  <c r="E371" i="1"/>
  <c r="F370" i="1"/>
  <c r="F369" i="1"/>
  <c r="F368" i="1"/>
  <c r="F367" i="1"/>
  <c r="F362" i="1"/>
  <c r="F361" i="1"/>
  <c r="F360" i="1"/>
  <c r="F359" i="1"/>
  <c r="F363" i="1" s="1"/>
  <c r="F358" i="1"/>
  <c r="F357" i="1"/>
  <c r="F324" i="1"/>
  <c r="F323" i="1"/>
  <c r="F322" i="1"/>
  <c r="F321" i="1"/>
  <c r="F320" i="1"/>
  <c r="F326" i="1" s="1"/>
  <c r="F314" i="1"/>
  <c r="F313" i="1"/>
  <c r="F312" i="1"/>
  <c r="F311" i="1"/>
  <c r="F316" i="1" s="1"/>
  <c r="F310" i="1"/>
  <c r="F305" i="1"/>
  <c r="F304" i="1"/>
  <c r="F303" i="1"/>
  <c r="F302" i="1"/>
  <c r="F301" i="1"/>
  <c r="F300" i="1"/>
  <c r="F306" i="1" s="1"/>
  <c r="E274" i="1"/>
  <c r="E331" i="1" s="1"/>
  <c r="E388" i="1" s="1"/>
  <c r="E445" i="1" s="1"/>
  <c r="E273" i="1"/>
  <c r="F267" i="1"/>
  <c r="F266" i="1"/>
  <c r="F265" i="1"/>
  <c r="F264" i="1"/>
  <c r="F263" i="1"/>
  <c r="F269" i="1" s="1"/>
  <c r="E257" i="1"/>
  <c r="F256" i="1"/>
  <c r="F255" i="1"/>
  <c r="F254" i="1"/>
  <c r="F257" i="1" s="1"/>
  <c r="F253" i="1"/>
  <c r="F259" i="1" s="1"/>
  <c r="F248" i="1"/>
  <c r="F247" i="1"/>
  <c r="F246" i="1"/>
  <c r="F245" i="1"/>
  <c r="F244" i="1"/>
  <c r="F243" i="1"/>
  <c r="F249" i="1" s="1"/>
  <c r="C238" i="1"/>
  <c r="C237" i="1"/>
  <c r="F209" i="1"/>
  <c r="F208" i="1"/>
  <c r="F207" i="1"/>
  <c r="F206" i="1"/>
  <c r="F211" i="1" s="1"/>
  <c r="F205" i="1"/>
  <c r="E199" i="1"/>
  <c r="F199" i="1" s="1"/>
  <c r="F198" i="1"/>
  <c r="F197" i="1"/>
  <c r="F201" i="1" s="1"/>
  <c r="F196" i="1"/>
  <c r="F195" i="1"/>
  <c r="F190" i="1"/>
  <c r="F189" i="1"/>
  <c r="F188" i="1"/>
  <c r="F187" i="1"/>
  <c r="F191" i="1" s="1"/>
  <c r="C183" i="1"/>
  <c r="C181" i="1"/>
  <c r="C180" i="1"/>
  <c r="E161" i="1"/>
  <c r="E502" i="1" s="1"/>
  <c r="E160" i="1"/>
  <c r="E501" i="1" s="1"/>
  <c r="F154" i="1"/>
  <c r="F153" i="1"/>
  <c r="F152" i="1"/>
  <c r="F151" i="1"/>
  <c r="F156" i="1" s="1"/>
  <c r="F150" i="1"/>
  <c r="E144" i="1"/>
  <c r="F144" i="1" s="1"/>
  <c r="F143" i="1"/>
  <c r="F142" i="1"/>
  <c r="F141" i="1"/>
  <c r="F140" i="1"/>
  <c r="F135" i="1"/>
  <c r="F134" i="1"/>
  <c r="F133" i="1"/>
  <c r="F132" i="1"/>
  <c r="F131" i="1"/>
  <c r="F130" i="1"/>
  <c r="F136" i="1" s="1"/>
  <c r="C126" i="1"/>
  <c r="C124" i="1"/>
  <c r="C119" i="1"/>
  <c r="C176" i="1" s="1"/>
  <c r="F97" i="1"/>
  <c r="F96" i="1"/>
  <c r="F95" i="1"/>
  <c r="F99" i="1" s="1"/>
  <c r="E89" i="1"/>
  <c r="F88" i="1"/>
  <c r="F87" i="1"/>
  <c r="F86" i="1"/>
  <c r="F89" i="1" s="1"/>
  <c r="F85" i="1"/>
  <c r="F80" i="1"/>
  <c r="F79" i="1"/>
  <c r="F78" i="1"/>
  <c r="F77" i="1"/>
  <c r="F81" i="1" s="1"/>
  <c r="F76" i="1"/>
  <c r="F75" i="1"/>
  <c r="C71" i="1"/>
  <c r="C239" i="1" s="1"/>
  <c r="C296" i="1" s="1"/>
  <c r="C353" i="1" s="1"/>
  <c r="C410" i="1" s="1"/>
  <c r="C467" i="1" s="1"/>
  <c r="C525" i="1" s="1"/>
  <c r="C582" i="1" s="1"/>
  <c r="F40" i="1"/>
  <c r="F39" i="1"/>
  <c r="F38" i="1"/>
  <c r="F37" i="1"/>
  <c r="F36" i="1"/>
  <c r="F42" i="1" s="1"/>
  <c r="F30" i="1"/>
  <c r="E30" i="1"/>
  <c r="F29" i="1"/>
  <c r="F28" i="1"/>
  <c r="F27" i="1"/>
  <c r="F26" i="1"/>
  <c r="F32" i="1" s="1"/>
  <c r="F21" i="1"/>
  <c r="F20" i="1"/>
  <c r="F19" i="1"/>
  <c r="F18" i="1"/>
  <c r="F22" i="1" s="1"/>
  <c r="F45" i="1" s="1"/>
  <c r="F17" i="1"/>
  <c r="C10" i="1"/>
  <c r="C6" i="1"/>
  <c r="F1017" i="1" l="1"/>
  <c r="F1016" i="1"/>
  <c r="F1018" i="1" s="1"/>
  <c r="F48" i="1"/>
  <c r="F47" i="1"/>
  <c r="F46" i="1"/>
  <c r="F329" i="1"/>
  <c r="F445" i="1"/>
  <c r="F446" i="1" s="1"/>
  <c r="F444" i="1"/>
  <c r="F502" i="1"/>
  <c r="F501" i="1"/>
  <c r="F503" i="1" s="1"/>
  <c r="F616" i="1"/>
  <c r="F617" i="1"/>
  <c r="F618" i="1" s="1"/>
  <c r="F731" i="1"/>
  <c r="F732" i="1"/>
  <c r="F730" i="1"/>
  <c r="F846" i="1"/>
  <c r="F845" i="1"/>
  <c r="F847" i="1" s="1"/>
  <c r="F902" i="1"/>
  <c r="F904" i="1"/>
  <c r="F903" i="1"/>
  <c r="F1074" i="1"/>
  <c r="F1073" i="1"/>
  <c r="F1075" i="1" s="1"/>
  <c r="F2214" i="1"/>
  <c r="F2216" i="1" s="1"/>
  <c r="F2215" i="1"/>
  <c r="C754" i="1"/>
  <c r="C696" i="1"/>
  <c r="F959" i="1"/>
  <c r="F961" i="1" s="1"/>
  <c r="F960" i="1"/>
  <c r="F159" i="1"/>
  <c r="F558" i="1"/>
  <c r="F1300" i="1"/>
  <c r="F1527" i="1"/>
  <c r="F1642" i="1"/>
  <c r="F1644" i="1"/>
  <c r="F1643" i="1"/>
  <c r="F2444" i="1"/>
  <c r="F2443" i="1"/>
  <c r="F2445" i="1" s="1"/>
  <c r="F146" i="1"/>
  <c r="F102" i="1"/>
  <c r="F91" i="1"/>
  <c r="F214" i="1"/>
  <c r="F272" i="1"/>
  <c r="F672" i="1"/>
  <c r="F659" i="1"/>
  <c r="F787" i="1"/>
  <c r="F1116" i="1"/>
  <c r="F1129" i="1" s="1"/>
  <c r="F1871" i="1"/>
  <c r="F1873" i="1"/>
  <c r="F1872" i="1"/>
  <c r="C64" i="1"/>
  <c r="C232" i="1" s="1"/>
  <c r="C289" i="1" s="1"/>
  <c r="C346" i="1" s="1"/>
  <c r="C403" i="1" s="1"/>
  <c r="C460" i="1" s="1"/>
  <c r="C518" i="1" s="1"/>
  <c r="C575" i="1" s="1"/>
  <c r="F1399" i="1"/>
  <c r="F1412" i="1" s="1"/>
  <c r="F1971" i="1"/>
  <c r="F1984" i="1" s="1"/>
  <c r="E216" i="1"/>
  <c r="F1183" i="1"/>
  <c r="F1186" i="1" s="1"/>
  <c r="F1220" i="1"/>
  <c r="F1342" i="1"/>
  <c r="F1344" i="1" s="1"/>
  <c r="F1397" i="1"/>
  <c r="F1446" i="1"/>
  <c r="F1469" i="1" s="1"/>
  <c r="F1581" i="1"/>
  <c r="F1584" i="1" s="1"/>
  <c r="F1685" i="1"/>
  <c r="F1683" i="1"/>
  <c r="F1789" i="1"/>
  <c r="F1904" i="1"/>
  <c r="F2018" i="1"/>
  <c r="F2041" i="1" s="1"/>
  <c r="F2038" i="1"/>
  <c r="F2325" i="1"/>
  <c r="F2362" i="1"/>
  <c r="F5041" i="1"/>
  <c r="F5042" i="1" s="1"/>
  <c r="F5040" i="1"/>
  <c r="F371" i="1"/>
  <c r="F373" i="1" s="1"/>
  <c r="F386" i="1" s="1"/>
  <c r="F1240" i="1"/>
  <c r="F1514" i="1"/>
  <c r="F1752" i="1"/>
  <c r="F1755" i="1" s="1"/>
  <c r="F2098" i="1"/>
  <c r="F2155" i="1"/>
  <c r="F2382" i="1"/>
  <c r="F3762" i="1"/>
  <c r="F2255" i="1"/>
  <c r="F2257" i="1" s="1"/>
  <c r="F2270" i="1" s="1"/>
  <c r="F2906" i="1"/>
  <c r="F1287" i="1"/>
  <c r="F1334" i="1"/>
  <c r="F1357" i="1" s="1"/>
  <c r="F1675" i="1"/>
  <c r="F1698" i="1" s="1"/>
  <c r="F1797" i="1"/>
  <c r="F1799" i="1" s="1"/>
  <c r="F1912" i="1"/>
  <c r="F1914" i="1" s="1"/>
  <c r="F2315" i="1"/>
  <c r="F2619" i="1"/>
  <c r="F2791" i="1"/>
  <c r="F3020" i="1"/>
  <c r="F3935" i="1"/>
  <c r="F3936" i="1" s="1"/>
  <c r="F3934" i="1"/>
  <c r="F2497" i="1"/>
  <c r="F2500" i="1" s="1"/>
  <c r="F2544" i="1"/>
  <c r="F2557" i="1" s="1"/>
  <c r="F2710" i="1"/>
  <c r="F2733" i="1" s="1"/>
  <c r="F2903" i="1"/>
  <c r="F2959" i="1"/>
  <c r="F2962" i="1" s="1"/>
  <c r="F3007" i="1"/>
  <c r="F3131" i="1"/>
  <c r="F3134" i="1" s="1"/>
  <c r="F3236" i="1"/>
  <c r="F3249" i="1" s="1"/>
  <c r="F3340" i="1"/>
  <c r="F3363" i="1" s="1"/>
  <c r="F3579" i="1"/>
  <c r="F3863" i="1"/>
  <c r="F3876" i="1" s="1"/>
  <c r="E3878" i="1"/>
  <c r="F4571" i="1"/>
  <c r="F4574" i="1" s="1"/>
  <c r="F4925" i="1"/>
  <c r="F4924" i="1"/>
  <c r="F4926" i="1"/>
  <c r="F2778" i="1"/>
  <c r="F3188" i="1"/>
  <c r="F3191" i="1" s="1"/>
  <c r="F3306" i="1"/>
  <c r="E3763" i="1"/>
  <c r="E3935" i="1"/>
  <c r="F3990" i="1"/>
  <c r="F4162" i="1"/>
  <c r="F4517" i="1"/>
  <c r="F4519" i="1" s="1"/>
  <c r="F4518" i="1"/>
  <c r="F2663" i="1"/>
  <c r="F2676" i="1" s="1"/>
  <c r="F2825" i="1"/>
  <c r="F2848" i="1" s="1"/>
  <c r="F3054" i="1"/>
  <c r="F3077" i="1" s="1"/>
  <c r="F3463" i="1"/>
  <c r="F3465" i="1" s="1"/>
  <c r="F3522" i="1"/>
  <c r="F3591" i="1"/>
  <c r="F4218" i="1"/>
  <c r="F4262" i="1"/>
  <c r="F4275" i="1" s="1"/>
  <c r="F4332" i="1"/>
  <c r="F4633" i="1"/>
  <c r="F3474" i="1"/>
  <c r="F3512" i="1"/>
  <c r="F3534" i="1" s="1"/>
  <c r="F3645" i="1"/>
  <c r="F3749" i="1"/>
  <c r="F3804" i="1"/>
  <c r="F3806" i="1" s="1"/>
  <c r="F3819" i="1" s="1"/>
  <c r="F4091" i="1"/>
  <c r="F4104" i="1" s="1"/>
  <c r="F4726" i="1"/>
  <c r="F4749" i="1" s="1"/>
  <c r="F4865" i="1"/>
  <c r="F4376" i="1"/>
  <c r="F4424" i="1"/>
  <c r="F4447" i="1" s="1"/>
  <c r="F4668" i="1"/>
  <c r="F4691" i="1" s="1"/>
  <c r="F3407" i="1"/>
  <c r="F3420" i="1" s="1"/>
  <c r="F3455" i="1"/>
  <c r="F3625" i="1"/>
  <c r="F3648" i="1" s="1"/>
  <c r="F3702" i="1"/>
  <c r="F3705" i="1" s="1"/>
  <c r="F4044" i="1"/>
  <c r="F4047" i="1" s="1"/>
  <c r="F4366" i="1"/>
  <c r="F4389" i="1" s="1"/>
  <c r="F4630" i="1"/>
  <c r="F4804" i="1"/>
  <c r="F4807" i="1" s="1"/>
  <c r="F4978" i="1"/>
  <c r="F4981" i="1" s="1"/>
  <c r="F5074" i="1"/>
  <c r="F5097" i="1" s="1"/>
  <c r="F3706" i="1" l="1"/>
  <c r="F3708" i="1"/>
  <c r="F3707" i="1"/>
  <c r="F2558" i="1"/>
  <c r="F2560" i="1" s="1"/>
  <c r="F2559" i="1"/>
  <c r="F1986" i="1"/>
  <c r="F1987" i="1" s="1"/>
  <c r="F1985" i="1"/>
  <c r="F4105" i="1"/>
  <c r="F4276" i="1"/>
  <c r="F4278" i="1" s="1"/>
  <c r="F4277" i="1"/>
  <c r="F2964" i="1"/>
  <c r="F2963" i="1"/>
  <c r="F2965" i="1" s="1"/>
  <c r="F2502" i="1"/>
  <c r="F2503" i="1" s="1"/>
  <c r="F2501" i="1"/>
  <c r="F1586" i="1"/>
  <c r="F1585" i="1"/>
  <c r="F1587" i="1" s="1"/>
  <c r="F1413" i="1"/>
  <c r="F1414" i="1"/>
  <c r="F1415" i="1" s="1"/>
  <c r="F3821" i="1"/>
  <c r="F2272" i="1"/>
  <c r="F2271" i="1"/>
  <c r="F2273" i="1" s="1"/>
  <c r="F1188" i="1"/>
  <c r="F1187" i="1"/>
  <c r="F1189" i="1" s="1"/>
  <c r="F4809" i="1"/>
  <c r="F4808" i="1"/>
  <c r="F4810" i="1" s="1"/>
  <c r="F3193" i="1"/>
  <c r="F3192" i="1"/>
  <c r="F3194" i="1" s="1"/>
  <c r="F3250" i="1"/>
  <c r="F3252" i="1" s="1"/>
  <c r="F3251" i="1"/>
  <c r="F387" i="1"/>
  <c r="F389" i="1" s="1"/>
  <c r="F388" i="1"/>
  <c r="F1131" i="1"/>
  <c r="F1130" i="1"/>
  <c r="F1132" i="1" s="1"/>
  <c r="F4984" i="1"/>
  <c r="F4983" i="1"/>
  <c r="F4982" i="1"/>
  <c r="F4048" i="1"/>
  <c r="F3422" i="1"/>
  <c r="F3421" i="1"/>
  <c r="F3423" i="1"/>
  <c r="F3878" i="1"/>
  <c r="F3877" i="1"/>
  <c r="F3879" i="1" s="1"/>
  <c r="F3135" i="1"/>
  <c r="F3137" i="1" s="1"/>
  <c r="F3136" i="1"/>
  <c r="F1756" i="1"/>
  <c r="F1758" i="1"/>
  <c r="F1757" i="1"/>
  <c r="F3477" i="1"/>
  <c r="F3021" i="1"/>
  <c r="F3023" i="1" s="1"/>
  <c r="F3022" i="1"/>
  <c r="F2907" i="1"/>
  <c r="F2909" i="1" s="1"/>
  <c r="F2908" i="1"/>
  <c r="F789" i="1"/>
  <c r="F788" i="1"/>
  <c r="F790" i="1" s="1"/>
  <c r="F1303" i="1"/>
  <c r="F1302" i="1"/>
  <c r="F1301" i="1"/>
  <c r="F4867" i="1"/>
  <c r="F4868" i="1" s="1"/>
  <c r="F4866" i="1"/>
  <c r="F4219" i="1"/>
  <c r="F2850" i="1"/>
  <c r="F2849" i="1"/>
  <c r="F2851" i="1" s="1"/>
  <c r="F3309" i="1"/>
  <c r="F3307" i="1"/>
  <c r="F3308" i="1"/>
  <c r="F2792" i="1"/>
  <c r="F2794" i="1" s="1"/>
  <c r="F2793" i="1"/>
  <c r="F1359" i="1"/>
  <c r="F1358" i="1"/>
  <c r="F1360" i="1"/>
  <c r="F2100" i="1"/>
  <c r="F2099" i="1"/>
  <c r="F2101" i="1" s="1"/>
  <c r="C689" i="1"/>
  <c r="C747" i="1"/>
  <c r="F274" i="1"/>
  <c r="F273" i="1"/>
  <c r="F275" i="1"/>
  <c r="F559" i="1"/>
  <c r="F560" i="1"/>
  <c r="F561" i="1" s="1"/>
  <c r="F332" i="1"/>
  <c r="F331" i="1"/>
  <c r="F330" i="1"/>
  <c r="F3079" i="1"/>
  <c r="F3078" i="1"/>
  <c r="F3080" i="1" s="1"/>
  <c r="E3820" i="1"/>
  <c r="F3820" i="1" s="1"/>
  <c r="F3822" i="1" s="1"/>
  <c r="E3992" i="1"/>
  <c r="E4049" i="1" s="1"/>
  <c r="E4106" i="1" s="1"/>
  <c r="E4163" i="1" s="1"/>
  <c r="F2735" i="1"/>
  <c r="F2734" i="1"/>
  <c r="F2736" i="1" s="1"/>
  <c r="F2157" i="1"/>
  <c r="F2158" i="1" s="1"/>
  <c r="F2156" i="1"/>
  <c r="F1471" i="1"/>
  <c r="F1470" i="1"/>
  <c r="F1472" i="1"/>
  <c r="F4693" i="1"/>
  <c r="F4692" i="1"/>
  <c r="F4694" i="1" s="1"/>
  <c r="F4636" i="1"/>
  <c r="F4635" i="1"/>
  <c r="F4634" i="1"/>
  <c r="F2677" i="1"/>
  <c r="F2679" i="1"/>
  <c r="F2678" i="1"/>
  <c r="F2043" i="1"/>
  <c r="F2042" i="1"/>
  <c r="F2044" i="1" s="1"/>
  <c r="F674" i="1"/>
  <c r="F673" i="1"/>
  <c r="F675" i="1" s="1"/>
  <c r="F217" i="1"/>
  <c r="F216" i="1"/>
  <c r="F215" i="1"/>
  <c r="F1529" i="1"/>
  <c r="F1530" i="1" s="1"/>
  <c r="F1528" i="1"/>
  <c r="F161" i="1"/>
  <c r="F160" i="1"/>
  <c r="F162" i="1" s="1"/>
  <c r="C982" i="1"/>
  <c r="C1039" i="1" s="1"/>
  <c r="C1096" i="1" s="1"/>
  <c r="C1153" i="1" s="1"/>
  <c r="C1210" i="1" s="1"/>
  <c r="C1267" i="1" s="1"/>
  <c r="C1324" i="1" s="1"/>
  <c r="C1381" i="1" s="1"/>
  <c r="C1436" i="1" s="1"/>
  <c r="C1494" i="1" s="1"/>
  <c r="C1551" i="1" s="1"/>
  <c r="C1608" i="1" s="1"/>
  <c r="C1665" i="1" s="1"/>
  <c r="C868" i="1"/>
  <c r="C925" i="1" s="1"/>
  <c r="F4391" i="1"/>
  <c r="F4390" i="1"/>
  <c r="F4392" i="1" s="1"/>
  <c r="F3536" i="1"/>
  <c r="F3535" i="1"/>
  <c r="F3537" i="1" s="1"/>
  <c r="F3592" i="1"/>
  <c r="F3594" i="1" s="1"/>
  <c r="F3593" i="1"/>
  <c r="F1700" i="1"/>
  <c r="F1699" i="1"/>
  <c r="F1701" i="1" s="1"/>
  <c r="F3763" i="1"/>
  <c r="F3765" i="1"/>
  <c r="F3764" i="1"/>
  <c r="F1812" i="1"/>
  <c r="F104" i="1"/>
  <c r="F103" i="1"/>
  <c r="F105" i="1" s="1"/>
  <c r="F4751" i="1"/>
  <c r="F4750" i="1"/>
  <c r="F4752" i="1" s="1"/>
  <c r="F3993" i="1"/>
  <c r="F3992" i="1"/>
  <c r="F3991" i="1"/>
  <c r="F3364" i="1"/>
  <c r="F3366" i="1" s="1"/>
  <c r="F3365" i="1"/>
  <c r="F2621" i="1"/>
  <c r="F2620" i="1"/>
  <c r="F2622" i="1" s="1"/>
  <c r="F5099" i="1"/>
  <c r="F5098" i="1"/>
  <c r="F5100" i="1" s="1"/>
  <c r="F3649" i="1"/>
  <c r="F3651" i="1" s="1"/>
  <c r="F3650" i="1"/>
  <c r="F4450" i="1"/>
  <c r="F4449" i="1"/>
  <c r="F4448" i="1"/>
  <c r="F4333" i="1"/>
  <c r="F4334" i="1"/>
  <c r="F4335" i="1" s="1"/>
  <c r="F4576" i="1"/>
  <c r="F4575" i="1"/>
  <c r="F4577" i="1"/>
  <c r="F2328" i="1"/>
  <c r="F2385" i="1"/>
  <c r="F1927" i="1"/>
  <c r="F1243" i="1"/>
  <c r="C811" i="1"/>
  <c r="C639" i="1"/>
  <c r="F1928" i="1" l="1"/>
  <c r="F1930" i="1"/>
  <c r="F1929" i="1"/>
  <c r="E4220" i="1"/>
  <c r="F4220" i="1" s="1"/>
  <c r="F4221" i="1" s="1"/>
  <c r="F4163" i="1"/>
  <c r="F4164" i="1" s="1"/>
  <c r="F4049" i="1"/>
  <c r="F4050" i="1" s="1"/>
  <c r="F4106" i="1"/>
  <c r="F4107" i="1" s="1"/>
  <c r="C975" i="1"/>
  <c r="C1032" i="1" s="1"/>
  <c r="C1089" i="1" s="1"/>
  <c r="C1146" i="1" s="1"/>
  <c r="C1203" i="1" s="1"/>
  <c r="C1260" i="1" s="1"/>
  <c r="C1317" i="1" s="1"/>
  <c r="C1374" i="1" s="1"/>
  <c r="C1429" i="1" s="1"/>
  <c r="C1487" i="1" s="1"/>
  <c r="C1544" i="1" s="1"/>
  <c r="C1601" i="1" s="1"/>
  <c r="C1658" i="1" s="1"/>
  <c r="C861" i="1"/>
  <c r="C918" i="1" s="1"/>
  <c r="F2388" i="1"/>
  <c r="F2387" i="1"/>
  <c r="F2386" i="1"/>
  <c r="F1813" i="1"/>
  <c r="F1815" i="1"/>
  <c r="F1814" i="1"/>
  <c r="F3479" i="1"/>
  <c r="F3478" i="1"/>
  <c r="F3480" i="1" s="1"/>
  <c r="F1245" i="1"/>
  <c r="F1244" i="1"/>
  <c r="F1246" i="1" s="1"/>
  <c r="F2331" i="1"/>
  <c r="F2330" i="1"/>
  <c r="F2329" i="1"/>
  <c r="C1722" i="1"/>
  <c r="C1837" i="1"/>
  <c r="C1894" i="1" s="1"/>
  <c r="C1779" i="1"/>
  <c r="C1951" i="1" s="1"/>
  <c r="C2008" i="1" s="1"/>
  <c r="C2065" i="1" s="1"/>
  <c r="C2122" i="1" s="1"/>
  <c r="C2180" i="1" s="1"/>
  <c r="C2237" i="1" s="1"/>
  <c r="C804" i="1"/>
  <c r="C632" i="1"/>
  <c r="C1830" i="1" l="1"/>
  <c r="C1887" i="1" s="1"/>
  <c r="C1772" i="1"/>
  <c r="C1944" i="1" s="1"/>
  <c r="C2001" i="1" s="1"/>
  <c r="C2058" i="1" s="1"/>
  <c r="C2115" i="1" s="1"/>
  <c r="C2173" i="1" s="1"/>
  <c r="C2230" i="1" s="1"/>
  <c r="C1715" i="1"/>
  <c r="C2295" i="1"/>
  <c r="C2352" i="1" s="1"/>
  <c r="C2409" i="1"/>
  <c r="C2467" i="1" s="1"/>
  <c r="C2524" i="1" s="1"/>
  <c r="C2402" i="1" l="1"/>
  <c r="C2460" i="1" s="1"/>
  <c r="C2517" i="1" s="1"/>
  <c r="C2288" i="1"/>
  <c r="C2345" i="1" s="1"/>
  <c r="C2758" i="1"/>
  <c r="C2581" i="1"/>
  <c r="C2643" i="1" l="1"/>
  <c r="C2815" i="1"/>
  <c r="C2574" i="1"/>
  <c r="C2751" i="1"/>
  <c r="C2636" i="1" l="1"/>
  <c r="C2808" i="1"/>
  <c r="C2873" i="1"/>
  <c r="C2700" i="1"/>
  <c r="C2987" i="1" l="1"/>
  <c r="C3044" i="1" s="1"/>
  <c r="C3101" i="1" s="1"/>
  <c r="C3158" i="1" s="1"/>
  <c r="C3216" i="1" s="1"/>
  <c r="C2929" i="1"/>
  <c r="C2866" i="1"/>
  <c r="C2693" i="1"/>
  <c r="C2980" i="1" l="1"/>
  <c r="C3037" i="1" s="1"/>
  <c r="C3094" i="1" s="1"/>
  <c r="C3151" i="1" s="1"/>
  <c r="C3209" i="1" s="1"/>
  <c r="C2922" i="1"/>
  <c r="C3273" i="1"/>
  <c r="C3330" i="1"/>
  <c r="C3387" i="1" s="1"/>
  <c r="C3444" i="1" s="1"/>
  <c r="C3501" i="1" s="1"/>
  <c r="C3558" i="1" s="1"/>
  <c r="C3615" i="1" s="1"/>
  <c r="C3672" i="1" s="1"/>
  <c r="C3729" i="1" s="1"/>
  <c r="C3786" i="1" s="1"/>
  <c r="C3843" i="1" s="1"/>
  <c r="C3900" i="1" s="1"/>
  <c r="C3957" i="1" s="1"/>
  <c r="C4014" i="1" s="1"/>
  <c r="C4071" i="1" s="1"/>
  <c r="C4128" i="1" s="1"/>
  <c r="C4185" i="1" s="1"/>
  <c r="C4242" i="1" s="1"/>
  <c r="C4299" i="1" s="1"/>
  <c r="C4356" i="1" s="1"/>
  <c r="C4414" i="1" s="1"/>
  <c r="C4472" i="1" s="1"/>
  <c r="C4541" i="1" s="1"/>
  <c r="C4600" i="1" s="1"/>
  <c r="C4658" i="1" s="1"/>
  <c r="C4716" i="1" s="1"/>
  <c r="C4774" i="1" s="1"/>
  <c r="C4832" i="1" s="1"/>
  <c r="C4890" i="1" s="1"/>
  <c r="C4948" i="1" s="1"/>
  <c r="C5006" i="1" s="1"/>
  <c r="C5064" i="1" s="1"/>
  <c r="C3323" i="1" l="1"/>
  <c r="C3380" i="1" s="1"/>
  <c r="C3437" i="1" s="1"/>
  <c r="C3494" i="1" s="1"/>
  <c r="C3551" i="1" s="1"/>
  <c r="C3608" i="1" s="1"/>
  <c r="C3665" i="1" s="1"/>
  <c r="C3722" i="1" s="1"/>
  <c r="C3779" i="1" s="1"/>
  <c r="C3836" i="1" s="1"/>
  <c r="C3893" i="1" s="1"/>
  <c r="C3950" i="1" s="1"/>
  <c r="C4007" i="1" s="1"/>
  <c r="C4064" i="1" s="1"/>
  <c r="C4121" i="1" s="1"/>
  <c r="C4178" i="1" s="1"/>
  <c r="C4235" i="1" s="1"/>
  <c r="C4292" i="1" s="1"/>
  <c r="C4349" i="1" s="1"/>
  <c r="C4407" i="1" s="1"/>
  <c r="C4465" i="1" s="1"/>
  <c r="C4534" i="1" s="1"/>
  <c r="C4593" i="1" s="1"/>
  <c r="C4651" i="1" s="1"/>
  <c r="C4709" i="1" s="1"/>
  <c r="C4767" i="1" s="1"/>
  <c r="C4825" i="1" s="1"/>
  <c r="C4883" i="1" s="1"/>
  <c r="C4941" i="1" s="1"/>
  <c r="C4999" i="1" s="1"/>
  <c r="C5057" i="1" s="1"/>
  <c r="C3266" i="1"/>
</calcChain>
</file>

<file path=xl/sharedStrings.xml><?xml version="1.0" encoding="utf-8"?>
<sst xmlns="http://schemas.openxmlformats.org/spreadsheetml/2006/main" count="4499" uniqueCount="324">
  <si>
    <t xml:space="preserve">ILUSTRE  MUNICIPALIDAD DE CALAMA </t>
  </si>
  <si>
    <t xml:space="preserve">S  E  C  P  L  A   C  </t>
  </si>
  <si>
    <t>ANEXO N° 04</t>
  </si>
  <si>
    <t xml:space="preserve"> FORMATO  ANALISIS DE PRECIOS UNITARIOS</t>
  </si>
  <si>
    <t xml:space="preserve">OBRA              </t>
  </si>
  <si>
    <t xml:space="preserve">EMPRESA      </t>
  </si>
  <si>
    <t>ROMA INVERSIONES SPA</t>
  </si>
  <si>
    <t xml:space="preserve">ITEM               </t>
  </si>
  <si>
    <t xml:space="preserve">PARTIDA        </t>
  </si>
  <si>
    <t>Instalacion de Faena</t>
  </si>
  <si>
    <t xml:space="preserve">UNIDAD         </t>
  </si>
  <si>
    <t>mes</t>
  </si>
  <si>
    <t>FECHA</t>
  </si>
  <si>
    <t xml:space="preserve">ESPECIFICACION MATERIAL </t>
  </si>
  <si>
    <t>UNIDAD</t>
  </si>
  <si>
    <t>CANTIDAD</t>
  </si>
  <si>
    <t>P.U. ($)</t>
  </si>
  <si>
    <t>TOTAL ($)</t>
  </si>
  <si>
    <t>CONTENEDOR OFICINA</t>
  </si>
  <si>
    <t>(A) TOTAL MATERIAL   ($)</t>
  </si>
  <si>
    <t>MANO  DE OBRA</t>
  </si>
  <si>
    <t>M-1 OC</t>
  </si>
  <si>
    <t>HH</t>
  </si>
  <si>
    <t>AYUDANTE</t>
  </si>
  <si>
    <t>CONDUCTOR CAMION PLUMA</t>
  </si>
  <si>
    <t xml:space="preserve">Leyes  Sociales </t>
  </si>
  <si>
    <t>%</t>
  </si>
  <si>
    <t>(B)  TOTAL MANO DE OBRA ($)</t>
  </si>
  <si>
    <t xml:space="preserve">HERRAMIENTAS /MAQUINARIA </t>
  </si>
  <si>
    <t>CAMION PLUMA</t>
  </si>
  <si>
    <t>HM</t>
  </si>
  <si>
    <t>HERRAMIENTAS MENORES</t>
  </si>
  <si>
    <t>GL</t>
  </si>
  <si>
    <t>(C)  TOTAL MAQUINARIA</t>
  </si>
  <si>
    <t>TOTAL COSTO  A+B+C+  ($)</t>
  </si>
  <si>
    <t>GASTOS GENERALES</t>
  </si>
  <si>
    <t>UTILIDADES</t>
  </si>
  <si>
    <t>TOTAL   NETO</t>
  </si>
  <si>
    <t>OBSERVACIONES</t>
  </si>
  <si>
    <t>1.2</t>
  </si>
  <si>
    <t>Cierres provisorios</t>
  </si>
  <si>
    <t>ml</t>
  </si>
  <si>
    <t>PLANCHA OSB 9MM</t>
  </si>
  <si>
    <t>UNID</t>
  </si>
  <si>
    <t>PINO DIMENSIONADO VERDE 2X2 X3,2</t>
  </si>
  <si>
    <t>CANDADO GRANDE</t>
  </si>
  <si>
    <t>BISAGRAS</t>
  </si>
  <si>
    <t>CLAVO CORRIENTE 2" CAJA 25 KG</t>
  </si>
  <si>
    <t>CADENA 1"</t>
  </si>
  <si>
    <t>KG</t>
  </si>
  <si>
    <t>MARTILLO PERCUTOR</t>
  </si>
  <si>
    <t>PALAS</t>
  </si>
  <si>
    <t>CARRETILLAS</t>
  </si>
  <si>
    <t>1.3</t>
  </si>
  <si>
    <t>gl</t>
  </si>
  <si>
    <t>TERCIADO ESTRUCTURAL 10mm</t>
  </si>
  <si>
    <t>C/U</t>
  </si>
  <si>
    <t>PINO 2x2"</t>
  </si>
  <si>
    <t>PINO CEPILLADO4x4"</t>
  </si>
  <si>
    <t>CLAVOS 3"</t>
  </si>
  <si>
    <t>CLAVOS 6"</t>
  </si>
  <si>
    <t>LIENSO ADHESIVO PVC</t>
  </si>
  <si>
    <t>ARRIENDO CUERPOS ANDAMIO</t>
  </si>
  <si>
    <t xml:space="preserve">MARTILLO DEMOLEDOR </t>
  </si>
  <si>
    <t>RETROEXCAVADORA</t>
  </si>
  <si>
    <t>TOLVA 10 M3</t>
  </si>
  <si>
    <t>1.5</t>
  </si>
  <si>
    <t>ESTACAS</t>
  </si>
  <si>
    <t>PLUMONES</t>
  </si>
  <si>
    <t>SPRAY NARANJA</t>
  </si>
  <si>
    <t>GEOMENSOR</t>
  </si>
  <si>
    <t>ALARIFE</t>
  </si>
  <si>
    <t>NIVEL TOPOGRAFICO</t>
  </si>
  <si>
    <t>REGLAS</t>
  </si>
  <si>
    <t>GPS</t>
  </si>
  <si>
    <t>1.6</t>
  </si>
  <si>
    <t>Baños Quimicos</t>
  </si>
  <si>
    <t>Baño Quimico</t>
  </si>
  <si>
    <t xml:space="preserve">Periodicidad limpieza baño </t>
  </si>
  <si>
    <t>1.7</t>
  </si>
  <si>
    <t xml:space="preserve">Demolición </t>
  </si>
  <si>
    <t>M3</t>
  </si>
  <si>
    <t>TALADRO INHALAMBRICO</t>
  </si>
  <si>
    <t>1.8</t>
  </si>
  <si>
    <t xml:space="preserve">Retiro de preexistencias </t>
  </si>
  <si>
    <t>1.9</t>
  </si>
  <si>
    <t>Retiro de escombros</t>
  </si>
  <si>
    <t>m3</t>
  </si>
  <si>
    <t>VIAJE</t>
  </si>
  <si>
    <t>Excavación e=30 [cm]</t>
  </si>
  <si>
    <t>CAMION TOLVA 10 M3</t>
  </si>
  <si>
    <t>Relleno compactado e=20 [cm]</t>
  </si>
  <si>
    <t xml:space="preserve">ESTABILIZADO			</t>
  </si>
  <si>
    <t xml:space="preserve">TRASLADO MATERIAL			</t>
  </si>
  <si>
    <t>Moldaje</t>
  </si>
  <si>
    <t>m2</t>
  </si>
  <si>
    <t>TERCIADO ESTRUCTURAL 15mm</t>
  </si>
  <si>
    <t xml:space="preserve">CLAVOS 3" </t>
  </si>
  <si>
    <t xml:space="preserve">CLAVOS 6" </t>
  </si>
  <si>
    <t>SIKA FORM 16 KG</t>
  </si>
  <si>
    <t>Polietileno 0,4mm</t>
  </si>
  <si>
    <t>POLIETILENO NEGRO 0,4 MM</t>
  </si>
  <si>
    <t>M2</t>
  </si>
  <si>
    <t>Emplantillado</t>
  </si>
  <si>
    <t>HORMIGON G5</t>
  </si>
  <si>
    <t>BETONERA</t>
  </si>
  <si>
    <t>CARRETILLA</t>
  </si>
  <si>
    <t>Malla electrosoldada</t>
  </si>
  <si>
    <t>MALLA ACMA C-139</t>
  </si>
  <si>
    <t>CALUGAS HORMIGON</t>
  </si>
  <si>
    <t>ALAMBRE 18</t>
  </si>
  <si>
    <t>Hormigón G-25 e=6 [cm]</t>
  </si>
  <si>
    <t>HORMIGON G25</t>
  </si>
  <si>
    <t>CEMENTO 25 KG</t>
  </si>
  <si>
    <t>CAMION MIXER</t>
  </si>
  <si>
    <t>HELICOPTERO</t>
  </si>
  <si>
    <t>Pavimento de caucho e= 4cms.</t>
  </si>
  <si>
    <t>Pavimento Rubtop 40 (3 cm Base + 1 cm Color)</t>
  </si>
  <si>
    <t>TRASLADO SANTIAGO CALAMA</t>
  </si>
  <si>
    <t xml:space="preserve">Instalación juegos </t>
  </si>
  <si>
    <t>U</t>
  </si>
  <si>
    <t>PERNOS DE ANCLAJE</t>
  </si>
  <si>
    <t>UND</t>
  </si>
  <si>
    <t>SIKADUR 32</t>
  </si>
  <si>
    <t>BROCA HORMIGON DE 6</t>
  </si>
  <si>
    <t>TALADRO PERCUTOR</t>
  </si>
  <si>
    <t xml:space="preserve">Soporte baldosas </t>
  </si>
  <si>
    <t>Estabilizado</t>
  </si>
  <si>
    <t>MT3</t>
  </si>
  <si>
    <t>Arena</t>
  </si>
  <si>
    <t>Arena Fina</t>
  </si>
  <si>
    <t>COMPACTADORA</t>
  </si>
  <si>
    <t xml:space="preserve">Baldosas </t>
  </si>
  <si>
    <t>Baldosas de 40x40x3,4[cm Minvu 0</t>
  </si>
  <si>
    <t>Baldosas de 40x40x3,4[cm Minvu 1</t>
  </si>
  <si>
    <t>Mortero Pega</t>
  </si>
  <si>
    <t xml:space="preserve">Cama de arena </t>
  </si>
  <si>
    <t>Polietileno negro 0,4</t>
  </si>
  <si>
    <t>Arena Gruesa</t>
  </si>
  <si>
    <t>Solerilla de confinamiento</t>
  </si>
  <si>
    <t>SOLERILLA C/REDONDO 100X20X6 CM MINVU</t>
  </si>
  <si>
    <t>AISLAPOL 10MM</t>
  </si>
  <si>
    <t>MT</t>
  </si>
  <si>
    <t>SIKAFLEX 11FC</t>
  </si>
  <si>
    <t>UN</t>
  </si>
  <si>
    <t xml:space="preserve">Fundaciones circuito calistenia </t>
  </si>
  <si>
    <t>HORMIGON G10</t>
  </si>
  <si>
    <t xml:space="preserve">Muro albañileria </t>
  </si>
  <si>
    <t>mt</t>
  </si>
  <si>
    <t>Bloque liso gris 14x19x39 cm</t>
  </si>
  <si>
    <t>Mortero pega 25kg</t>
  </si>
  <si>
    <t>Pilar 15x15 cm x 3.4 m 9,2 mm</t>
  </si>
  <si>
    <t>Fierro 8 MM A-63 unidad, 6 Metros</t>
  </si>
  <si>
    <t>Piedra pizarra</t>
  </si>
  <si>
    <t>mt2</t>
  </si>
  <si>
    <t>Piedra Natural Pizarra 30x60 cm Negro 0.9 m2</t>
  </si>
  <si>
    <t>Caja</t>
  </si>
  <si>
    <t>Bekron adhesivo ceramico 25kg</t>
  </si>
  <si>
    <t>Espaciadores 2mm</t>
  </si>
  <si>
    <t>Bolsa</t>
  </si>
  <si>
    <t>Frague Gris 5 Kg</t>
  </si>
  <si>
    <t xml:space="preserve">Demolición pavimentos </t>
  </si>
  <si>
    <t xml:space="preserve">Escarpe de terreno </t>
  </si>
  <si>
    <t>MINICARGADOR</t>
  </si>
  <si>
    <t xml:space="preserve">Preparación de superficie y pintura cancha y contracancha </t>
  </si>
  <si>
    <t>PINTURA POLIURETANO</t>
  </si>
  <si>
    <t>M-PINTOR</t>
  </si>
  <si>
    <t xml:space="preserve">Malla antipalomas </t>
  </si>
  <si>
    <t>MALLA ANTIPALOMAS</t>
  </si>
  <si>
    <t>Enfierradura</t>
  </si>
  <si>
    <t>kg</t>
  </si>
  <si>
    <t>FIERRO 8-12</t>
  </si>
  <si>
    <t>CALUGAS</t>
  </si>
  <si>
    <t>ENFIERRADOR</t>
  </si>
  <si>
    <t>GRIFAS</t>
  </si>
  <si>
    <t xml:space="preserve">Placa de anclaje </t>
  </si>
  <si>
    <t>PLACAS PERFORADAS 300X500X15</t>
  </si>
  <si>
    <t>SIKAGROUT 212</t>
  </si>
  <si>
    <t>Pernos de anclaje</t>
  </si>
  <si>
    <t>und</t>
  </si>
  <si>
    <t>PERNOS ANCLAJE 3/8 X 5</t>
  </si>
  <si>
    <t>Acero</t>
  </si>
  <si>
    <t>Kg</t>
  </si>
  <si>
    <t>DISCO CORTE 7</t>
  </si>
  <si>
    <t>DISCO DESBASTE 7</t>
  </si>
  <si>
    <t>SOLDADURA 6011 3/32</t>
  </si>
  <si>
    <t>PILAR RECTANGULAR 200X100X2</t>
  </si>
  <si>
    <t>PILAR CUADRADO 100X100X3</t>
  </si>
  <si>
    <t>PERFIL RECTANGULAR 100X50X2</t>
  </si>
  <si>
    <t>PERFIL CUADRADO 30X30X2</t>
  </si>
  <si>
    <t>PERFIL ANGULAR 30X2</t>
  </si>
  <si>
    <t>PERFIL COSTANERA 50X25X2</t>
  </si>
  <si>
    <t>PERFIL COSTANERA100X50X2</t>
  </si>
  <si>
    <t>BARRA LISA 1/2</t>
  </si>
  <si>
    <t>SOLDADOR</t>
  </si>
  <si>
    <t>ESMERIL ANGULAR</t>
  </si>
  <si>
    <t>MAQUINA SOLDAR</t>
  </si>
  <si>
    <t>Ondulado 48 - microperforado al 22%</t>
  </si>
  <si>
    <t>ONDULADO 48 MICRO PERFORADO 22%</t>
  </si>
  <si>
    <t>Metal desplegado</t>
  </si>
  <si>
    <t>MALLA METAL DESPLEGADO 27X12X6</t>
  </si>
  <si>
    <t>Terciado estructural e=18mm.</t>
  </si>
  <si>
    <t>TERCIADO ESTRUCTURAL 18mm</t>
  </si>
  <si>
    <t>Pletina circunferencia 40x2[mm]</t>
  </si>
  <si>
    <t>PLETINA 40X2</t>
  </si>
  <si>
    <t>Placa de acero 1,0mm perforada electro pintada</t>
  </si>
  <si>
    <t>PLACA ACERO ELECTROPINTADA PERFORADA</t>
  </si>
  <si>
    <t>Pletina de anclaje</t>
  </si>
  <si>
    <t>PLETINA 50X3</t>
  </si>
  <si>
    <t>Anticorrosivo</t>
  </si>
  <si>
    <t>ANTICORROSIVO INDUSTRIAL 5GL</t>
  </si>
  <si>
    <t>PINTOR</t>
  </si>
  <si>
    <t>PISTOLA PINTURA</t>
  </si>
  <si>
    <t>COMPRESOR</t>
  </si>
  <si>
    <t>Esmalte sintético</t>
  </si>
  <si>
    <t>ESMALTE SINTETICO EXTERIOR 5GL</t>
  </si>
  <si>
    <t>Conservación malla perimetral</t>
  </si>
  <si>
    <t>ESMALTE SINTETICO EXTERIOR NEGRO 1GL</t>
  </si>
  <si>
    <t>HIDROLAVADORA</t>
  </si>
  <si>
    <t xml:space="preserve">Preparación de superficie y pintura muro </t>
  </si>
  <si>
    <t>Pasta Muro Interior A-1 25 kg</t>
  </si>
  <si>
    <t>lijas 120</t>
  </si>
  <si>
    <t>Sika Plug 1,7 kg</t>
  </si>
  <si>
    <t>ESMALTE AL AGUA 5GL</t>
  </si>
  <si>
    <t xml:space="preserve">Fabricación portón </t>
  </si>
  <si>
    <t>Perfil metalico 100x100x3</t>
  </si>
  <si>
    <t>Perfil metalico 150x50x2</t>
  </si>
  <si>
    <t>Riel tipo G de 3mm</t>
  </si>
  <si>
    <t>Anticorrosivo negro</t>
  </si>
  <si>
    <t>Disco Corte Milimetrico 4 1/2"</t>
  </si>
  <si>
    <t>Electrodo 6011 3/32" 1 kg</t>
  </si>
  <si>
    <t>Hormigon G20</t>
  </si>
  <si>
    <t>Maquina Soldar</t>
  </si>
  <si>
    <t>Esmeril Angular 4 1/2</t>
  </si>
  <si>
    <t xml:space="preserve">Fabricación puertas poniente </t>
  </si>
  <si>
    <t>par</t>
  </si>
  <si>
    <t>Perfil metalico 40x40x2</t>
  </si>
  <si>
    <t>Metal desplegado 75x35x12x3 mm</t>
  </si>
  <si>
    <t>pomel 1/2</t>
  </si>
  <si>
    <t>Cerradura Scanavini</t>
  </si>
  <si>
    <t>Esmalte Sintetico Negro mate</t>
  </si>
  <si>
    <t xml:space="preserve">Fabricación puertas oriente </t>
  </si>
  <si>
    <t>=LGA!A86</t>
  </si>
  <si>
    <t xml:space="preserve">Retiro malla  metalica </t>
  </si>
  <si>
    <t>MARTILLO DEMOLEDOR</t>
  </si>
  <si>
    <t>CAMION TOLVA 3 M3</t>
  </si>
  <si>
    <t>=LGA!A87</t>
  </si>
  <si>
    <t xml:space="preserve">Pintura marco </t>
  </si>
  <si>
    <t>Colocación Malla fortificacion</t>
  </si>
  <si>
    <t>Malla de fortificación 75 mm x  3,76 mm</t>
  </si>
  <si>
    <t>Perfil acero 50x50x2</t>
  </si>
  <si>
    <t>50x50x2mm x6m Perfil cuadrado</t>
  </si>
  <si>
    <t>Escaño hormigón madera</t>
  </si>
  <si>
    <t>TRASLADO STGO CALAMA</t>
  </si>
  <si>
    <t>Bicicletero</t>
  </si>
  <si>
    <t xml:space="preserve">Balancin doble </t>
  </si>
  <si>
    <t xml:space="preserve">Juego de Cuerdas </t>
  </si>
  <si>
    <t xml:space="preserve">Basurero de hormigón </t>
  </si>
  <si>
    <t xml:space="preserve">Juego de resorte </t>
  </si>
  <si>
    <t xml:space="preserve">Barra calisteria </t>
  </si>
  <si>
    <t>Equipamiento basquetbol</t>
  </si>
  <si>
    <t>un</t>
  </si>
  <si>
    <t>Tablero de básquetbol con poste fijo 225 cm de proyección</t>
  </si>
  <si>
    <t>Equipamiento vóleibol</t>
  </si>
  <si>
    <t>Poste individual (parante) de Vóleibol para uso exterior e interior con pad de protección de alta densidad</t>
  </si>
  <si>
    <t xml:space="preserve">Equpamiento babyfutbol </t>
  </si>
  <si>
    <t>Arco baby fútbol de aluminio de 3x2mts con diámetro 80mm más malla</t>
  </si>
  <si>
    <t>Desenergización y energización</t>
  </si>
  <si>
    <t>Dfesconexion de Empalme CGE</t>
  </si>
  <si>
    <t>ELECTRICO</t>
  </si>
  <si>
    <t>AYUDANTE ELECTRICO</t>
  </si>
  <si>
    <t>PLANOS AS BUILT</t>
  </si>
  <si>
    <t>CERTIFICACION</t>
  </si>
  <si>
    <t>Conexión a EMPALME, tablero de alumbrado y equipo de medida</t>
  </si>
  <si>
    <t>Medidor Monofasico 25amp</t>
  </si>
  <si>
    <t>automático termomagnético general de 2x20[A] curva C,</t>
  </si>
  <si>
    <t>automático 10kA</t>
  </si>
  <si>
    <t>borneras viking 4mm2</t>
  </si>
  <si>
    <t>bipolar 100A</t>
  </si>
  <si>
    <t>fotoceldas</t>
  </si>
  <si>
    <t>controlador tiempo</t>
  </si>
  <si>
    <t>luz piloto</t>
  </si>
  <si>
    <t>conductor concéntrico de 2x6 mm2</t>
  </si>
  <si>
    <t>cañería galvanizada de 32 mm (1”)</t>
  </si>
  <si>
    <t>excavacion</t>
  </si>
  <si>
    <t>polietileno</t>
  </si>
  <si>
    <t>mortero hormigon</t>
  </si>
  <si>
    <t>poste acero galvanizado</t>
  </si>
  <si>
    <t>Tablero metálico 2000x200x150 IP66</t>
  </si>
  <si>
    <t>Caja Chuqui</t>
  </si>
  <si>
    <t>Enchufe triple</t>
  </si>
  <si>
    <t>solicitud factibilidd cge</t>
  </si>
  <si>
    <t>conexión empalme cge</t>
  </si>
  <si>
    <t>Red alumbrado</t>
  </si>
  <si>
    <t>Cable RV-K 3 x 2.5 mm2 0.6/1KV</t>
  </si>
  <si>
    <t>m</t>
  </si>
  <si>
    <t>Tubo pvc 32mm (subterraneo)</t>
  </si>
  <si>
    <t>Tubo Acero Galvanizado 3/4</t>
  </si>
  <si>
    <t>Coplas, codos pvc 32</t>
  </si>
  <si>
    <t>Coplas, codos galvanizados</t>
  </si>
  <si>
    <t>Tierra de Protección</t>
  </si>
  <si>
    <t>c/u</t>
  </si>
  <si>
    <t>barras copperweld 3/4”</t>
  </si>
  <si>
    <t>caja pvc testigo con tapa</t>
  </si>
  <si>
    <t>prensas broce</t>
  </si>
  <si>
    <t>Luminarias LED 60 [W]</t>
  </si>
  <si>
    <t>Poste Cónico 6 m</t>
  </si>
  <si>
    <t>Proyectores de área  LED 250 W.3000°K</t>
  </si>
  <si>
    <t xml:space="preserve">Inscripción S.E.C.  </t>
  </si>
  <si>
    <t>Dialux</t>
  </si>
  <si>
    <t>Planos as Built</t>
  </si>
  <si>
    <t xml:space="preserve">Línea de riego  </t>
  </si>
  <si>
    <t>Tuberias pvc hidraulico</t>
  </si>
  <si>
    <t>valvulas control</t>
  </si>
  <si>
    <t>Llaves de control</t>
  </si>
  <si>
    <t>adaptadores</t>
  </si>
  <si>
    <t>M1OC</t>
  </si>
  <si>
    <t xml:space="preserve">AYUDANTE </t>
  </si>
  <si>
    <t xml:space="preserve">Reubicación Flora </t>
  </si>
  <si>
    <t>u</t>
  </si>
  <si>
    <t>Tierra de Hoja</t>
  </si>
  <si>
    <t xml:space="preserve">Tierra de hoja </t>
  </si>
  <si>
    <t>sacos</t>
  </si>
  <si>
    <t xml:space="preserve">Penisetum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</si>
</sst>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$&quot;* #,##0_ ;_ &quot;$&quot;* \-#,##0_ ;_ &quot;$&quot;* &quot;-&quot;_ ;_ @_ "/>
    <numFmt numFmtId="165" formatCode="0.000"/>
    <numFmt numFmtId="166" formatCode="0.0000"/>
  </numFmts>
  <fonts count="8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6">
    <xf numFmtId="0" fontId="0" fillId="0" borderId="0"/>
    <xf numFmtId="0" fontId="1" fillId="0" borderId="0"/>
    <xf numFmtId="0" fontId="5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</cellStyleXfs>
  <cellXfs count="78">
    <xf numFmtId="0" fontId="0" fillId="0" borderId="0" xfId="0"/>
    <xf numFmtId="0" fontId="2" fillId="0" borderId="0" xfId="1" applyFont="1" applyAlignment="1">
      <alignment horizontal="center"/>
    </xf>
    <xf numFmtId="0" fontId="1" fillId="0" borderId="0" xfId="1" applyFont="1"/>
    <xf numFmtId="0" fontId="2" fillId="0" borderId="0" xfId="1" applyFont="1"/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/>
    <xf numFmtId="0" fontId="3" fillId="0" borderId="3" xfId="1" applyFont="1" applyBorder="1"/>
    <xf numFmtId="0" fontId="4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3" fillId="0" borderId="0" xfId="1" applyFont="1"/>
    <xf numFmtId="0" fontId="4" fillId="0" borderId="4" xfId="1" applyFont="1" applyBorder="1"/>
    <xf numFmtId="0" fontId="2" fillId="0" borderId="5" xfId="1" applyFont="1" applyBorder="1"/>
    <xf numFmtId="14" fontId="4" fillId="0" borderId="4" xfId="1" applyNumberFormat="1" applyFont="1" applyBorder="1"/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2" fillId="0" borderId="9" xfId="2" applyFont="1" applyFill="1" applyBorder="1" applyAlignment="1">
      <alignment vertical="center"/>
    </xf>
    <xf numFmtId="0" fontId="2" fillId="0" borderId="9" xfId="2" applyFont="1" applyFill="1" applyBorder="1" applyAlignment="1">
      <alignment horizontal="center" vertical="center"/>
    </xf>
    <xf numFmtId="164" fontId="2" fillId="0" borderId="9" xfId="3" applyFont="1" applyFill="1" applyBorder="1" applyAlignment="1">
      <alignment vertical="center"/>
    </xf>
    <xf numFmtId="164" fontId="2" fillId="0" borderId="10" xfId="3" applyFont="1" applyBorder="1"/>
    <xf numFmtId="0" fontId="2" fillId="0" borderId="11" xfId="2" applyFont="1" applyFill="1" applyBorder="1" applyAlignment="1">
      <alignment vertical="center"/>
    </xf>
    <xf numFmtId="164" fontId="2" fillId="0" borderId="9" xfId="3" applyFont="1" applyBorder="1"/>
    <xf numFmtId="0" fontId="4" fillId="0" borderId="9" xfId="1" applyFont="1" applyBorder="1"/>
    <xf numFmtId="0" fontId="3" fillId="0" borderId="9" xfId="1" applyFont="1" applyBorder="1"/>
    <xf numFmtId="9" fontId="2" fillId="0" borderId="9" xfId="1" applyNumberFormat="1" applyFont="1" applyBorder="1"/>
    <xf numFmtId="164" fontId="2" fillId="0" borderId="9" xfId="1" applyNumberFormat="1" applyFont="1" applyBorder="1"/>
    <xf numFmtId="0" fontId="1" fillId="0" borderId="9" xfId="1" applyFont="1" applyBorder="1"/>
    <xf numFmtId="0" fontId="2" fillId="0" borderId="3" xfId="1" applyFont="1" applyBorder="1" applyAlignment="1">
      <alignment horizontal="left"/>
    </xf>
    <xf numFmtId="164" fontId="2" fillId="0" borderId="12" xfId="1" applyNumberFormat="1" applyFont="1" applyBorder="1"/>
    <xf numFmtId="9" fontId="4" fillId="0" borderId="4" xfId="1" applyNumberFormat="1" applyFont="1" applyBorder="1"/>
    <xf numFmtId="0" fontId="2" fillId="0" borderId="13" xfId="1" applyFont="1" applyBorder="1" applyAlignment="1">
      <alignment horizontal="left"/>
    </xf>
    <xf numFmtId="0" fontId="4" fillId="0" borderId="14" xfId="1" applyFont="1" applyBorder="1"/>
    <xf numFmtId="0" fontId="2" fillId="0" borderId="0" xfId="1" applyFont="1" applyAlignment="1">
      <alignment horizontal="left"/>
    </xf>
    <xf numFmtId="0" fontId="3" fillId="0" borderId="15" xfId="1" applyFont="1" applyBorder="1" applyAlignment="1">
      <alignment horizontal="center"/>
    </xf>
    <xf numFmtId="0" fontId="4" fillId="0" borderId="3" xfId="1" applyFont="1" applyBorder="1"/>
    <xf numFmtId="0" fontId="4" fillId="0" borderId="16" xfId="1" applyFont="1" applyBorder="1"/>
    <xf numFmtId="0" fontId="2" fillId="0" borderId="17" xfId="1" applyFont="1" applyBorder="1"/>
    <xf numFmtId="0" fontId="4" fillId="0" borderId="18" xfId="1" applyFont="1" applyBorder="1"/>
    <xf numFmtId="0" fontId="2" fillId="0" borderId="19" xfId="1" applyFont="1" applyBorder="1"/>
    <xf numFmtId="0" fontId="4" fillId="0" borderId="20" xfId="1" applyFont="1" applyBorder="1"/>
    <xf numFmtId="0" fontId="7" fillId="0" borderId="21" xfId="1" applyFont="1" applyBorder="1" applyAlignment="1">
      <alignment horizontal="center"/>
    </xf>
    <xf numFmtId="0" fontId="7" fillId="0" borderId="22" xfId="1" applyFont="1" applyBorder="1" applyAlignment="1">
      <alignment horizontal="center"/>
    </xf>
    <xf numFmtId="0" fontId="4" fillId="0" borderId="0" xfId="1" applyFont="1" applyBorder="1"/>
    <xf numFmtId="0" fontId="7" fillId="0" borderId="0" xfId="1" applyFont="1" applyBorder="1" applyAlignment="1">
      <alignment horizontal="center"/>
    </xf>
    <xf numFmtId="0" fontId="7" fillId="0" borderId="0" xfId="1" applyFont="1" applyBorder="1" applyAlignment="1"/>
    <xf numFmtId="0" fontId="3" fillId="0" borderId="3" xfId="1" applyFont="1" applyBorder="1" applyAlignment="1">
      <alignment wrapText="1"/>
    </xf>
    <xf numFmtId="0" fontId="4" fillId="0" borderId="0" xfId="1" applyFont="1" applyAlignment="1">
      <alignment wrapText="1"/>
    </xf>
    <xf numFmtId="0" fontId="1" fillId="0" borderId="0" xfId="1" applyFont="1" applyAlignment="1">
      <alignment wrapText="1"/>
    </xf>
    <xf numFmtId="0" fontId="2" fillId="0" borderId="9" xfId="4" applyFont="1" applyBorder="1" applyAlignment="1">
      <alignment horizontal="center" vertical="center"/>
    </xf>
    <xf numFmtId="3" fontId="2" fillId="0" borderId="9" xfId="2" applyNumberFormat="1" applyFont="1" applyFill="1" applyBorder="1" applyAlignment="1">
      <alignment vertical="center"/>
    </xf>
    <xf numFmtId="0" fontId="4" fillId="0" borderId="13" xfId="1" applyFont="1" applyBorder="1"/>
    <xf numFmtId="1" fontId="2" fillId="0" borderId="9" xfId="2" applyNumberFormat="1" applyFont="1" applyFill="1" applyBorder="1" applyAlignment="1">
      <alignment vertical="center"/>
    </xf>
    <xf numFmtId="0" fontId="4" fillId="0" borderId="9" xfId="5" applyFont="1" applyBorder="1"/>
    <xf numFmtId="0" fontId="3" fillId="0" borderId="9" xfId="5" applyFont="1" applyBorder="1"/>
    <xf numFmtId="9" fontId="2" fillId="0" borderId="9" xfId="5" applyNumberFormat="1" applyFont="1" applyBorder="1"/>
    <xf numFmtId="164" fontId="2" fillId="0" borderId="9" xfId="5" applyNumberFormat="1" applyFont="1" applyBorder="1"/>
    <xf numFmtId="0" fontId="4" fillId="0" borderId="0" xfId="5" applyFont="1"/>
    <xf numFmtId="0" fontId="2" fillId="0" borderId="0" xfId="5" applyFont="1"/>
    <xf numFmtId="0" fontId="2" fillId="0" borderId="0" xfId="5" applyFont="1" applyAlignment="1">
      <alignment horizontal="center"/>
    </xf>
    <xf numFmtId="0" fontId="2" fillId="0" borderId="6" xfId="5" applyFont="1" applyBorder="1" applyAlignment="1">
      <alignment horizontal="center"/>
    </xf>
    <xf numFmtId="0" fontId="2" fillId="0" borderId="7" xfId="5" applyFont="1" applyBorder="1" applyAlignment="1">
      <alignment horizontal="center"/>
    </xf>
    <xf numFmtId="0" fontId="2" fillId="0" borderId="8" xfId="5" applyFont="1" applyBorder="1" applyAlignment="1">
      <alignment horizontal="center"/>
    </xf>
    <xf numFmtId="0" fontId="1" fillId="0" borderId="9" xfId="5" applyFont="1" applyBorder="1"/>
    <xf numFmtId="0" fontId="2" fillId="0" borderId="0" xfId="5" applyFont="1" applyBorder="1" applyAlignment="1">
      <alignment horizontal="center"/>
    </xf>
    <xf numFmtId="2" fontId="2" fillId="0" borderId="9" xfId="2" applyNumberFormat="1" applyFont="1" applyFill="1" applyBorder="1" applyAlignment="1">
      <alignment vertical="center"/>
    </xf>
    <xf numFmtId="0" fontId="4" fillId="0" borderId="4" xfId="1" applyFont="1" applyBorder="1" applyAlignment="1">
      <alignment horizontal="left" wrapText="1"/>
    </xf>
    <xf numFmtId="0" fontId="4" fillId="0" borderId="5" xfId="1" applyFont="1" applyBorder="1" applyAlignment="1">
      <alignment horizontal="left" wrapText="1"/>
    </xf>
    <xf numFmtId="165" fontId="2" fillId="0" borderId="9" xfId="2" applyNumberFormat="1" applyFont="1" applyFill="1" applyBorder="1" applyAlignment="1">
      <alignment vertical="center"/>
    </xf>
    <xf numFmtId="9" fontId="4" fillId="0" borderId="4" xfId="4" applyNumberFormat="1" applyFont="1" applyBorder="1"/>
    <xf numFmtId="166" fontId="2" fillId="0" borderId="9" xfId="2" applyNumberFormat="1" applyFont="1" applyFill="1" applyBorder="1" applyAlignment="1">
      <alignment vertical="center"/>
    </xf>
    <xf numFmtId="164" fontId="2" fillId="0" borderId="0" xfId="3" applyFont="1" applyBorder="1"/>
    <xf numFmtId="49" fontId="4" fillId="0" borderId="4" xfId="1" applyNumberFormat="1" applyFont="1" applyBorder="1"/>
    <xf numFmtId="0" fontId="4" fillId="0" borderId="4" xfId="1" applyFont="1" applyBorder="1" applyAlignment="1">
      <alignment horizontal="center" vertical="center"/>
    </xf>
    <xf numFmtId="0" fontId="2" fillId="0" borderId="9" xfId="2" applyFont="1" applyFill="1" applyBorder="1" applyAlignment="1">
      <alignment vertical="center" wrapText="1"/>
    </xf>
  </cellXfs>
  <cellStyles count="6">
    <cellStyle name="Moneda [0] 3 3" xfId="3" xr:uid="{5999D5B4-CFAD-7545-9177-A4FAD3CC3AE6}"/>
    <cellStyle name="Normal" xfId="0" builtinId="0"/>
    <cellStyle name="Normal 3 2" xfId="1" xr:uid="{F082AE61-003D-EF45-B979-A834ABFD309F}"/>
    <cellStyle name="Normal 3 3" xfId="5" xr:uid="{85EDF11A-BFDD-A54D-93F8-F5951A356D96}"/>
    <cellStyle name="Normal 5" xfId="4" xr:uid="{ED09BAE9-1CBE-C744-9FD3-AA1D0005A09E}"/>
    <cellStyle name="Normal_2.1 Formularios TEC-" xfId="2" xr:uid="{4A527EC9-BBB9-FD46-904F-448C11A72E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457200</xdr:colOff>
      <xdr:row>165</xdr:row>
      <xdr:rowOff>76200</xdr:rowOff>
    </xdr:from>
    <xdr:ext cx="1371600" cy="580871"/>
    <xdr:pic>
      <xdr:nvPicPr>
        <xdr:cNvPr id="2" name="Imagen 1">
          <a:extLst>
            <a:ext uri="{FF2B5EF4-FFF2-40B4-BE49-F238E27FC236}">
              <a16:creationId xmlns:a16="http://schemas.microsoft.com/office/drawing/2014/main" id="{48BB3356-B3E9-2340-8443-DB7803F9D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8100" y="32981900"/>
          <a:ext cx="1371600" cy="580871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109</xdr:row>
      <xdr:rowOff>0</xdr:rowOff>
    </xdr:from>
    <xdr:ext cx="1371600" cy="585104"/>
    <xdr:pic>
      <xdr:nvPicPr>
        <xdr:cNvPr id="3" name="Imagen 2">
          <a:extLst>
            <a:ext uri="{FF2B5EF4-FFF2-40B4-BE49-F238E27FC236}">
              <a16:creationId xmlns:a16="http://schemas.microsoft.com/office/drawing/2014/main" id="{0DE28971-256A-F34D-9930-82C237463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22275800"/>
          <a:ext cx="1371600" cy="58510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278</xdr:row>
      <xdr:rowOff>0</xdr:rowOff>
    </xdr:from>
    <xdr:ext cx="1371600" cy="572404"/>
    <xdr:pic>
      <xdr:nvPicPr>
        <xdr:cNvPr id="4" name="Imagen 3">
          <a:extLst>
            <a:ext uri="{FF2B5EF4-FFF2-40B4-BE49-F238E27FC236}">
              <a16:creationId xmlns:a16="http://schemas.microsoft.com/office/drawing/2014/main" id="{2619127A-998C-A046-B70D-691EDD4DE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55562500"/>
          <a:ext cx="1371600" cy="57240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506</xdr:row>
      <xdr:rowOff>0</xdr:rowOff>
    </xdr:from>
    <xdr:ext cx="1371600" cy="572405"/>
    <xdr:pic>
      <xdr:nvPicPr>
        <xdr:cNvPr id="5" name="Imagen 4">
          <a:extLst>
            <a:ext uri="{FF2B5EF4-FFF2-40B4-BE49-F238E27FC236}">
              <a16:creationId xmlns:a16="http://schemas.microsoft.com/office/drawing/2014/main" id="{02CAC76C-454A-B645-AFE0-1BAA144F7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100825300"/>
          <a:ext cx="1371600" cy="572405"/>
        </a:xfrm>
        <a:prstGeom prst="rect">
          <a:avLst/>
        </a:prstGeom>
      </xdr:spPr>
    </xdr:pic>
    <xdr:clientData/>
  </xdr:oneCellAnchor>
  <xdr:oneCellAnchor>
    <xdr:from>
      <xdr:col>5</xdr:col>
      <xdr:colOff>596900</xdr:colOff>
      <xdr:row>564</xdr:row>
      <xdr:rowOff>127000</xdr:rowOff>
    </xdr:from>
    <xdr:ext cx="1371600" cy="572404"/>
    <xdr:pic>
      <xdr:nvPicPr>
        <xdr:cNvPr id="6" name="Imagen 5">
          <a:extLst>
            <a:ext uri="{FF2B5EF4-FFF2-40B4-BE49-F238E27FC236}">
              <a16:creationId xmlns:a16="http://schemas.microsoft.com/office/drawing/2014/main" id="{51A13121-215D-624E-8F23-E117B091A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7800" y="112522000"/>
          <a:ext cx="1371600" cy="57240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736</xdr:row>
      <xdr:rowOff>0</xdr:rowOff>
    </xdr:from>
    <xdr:ext cx="1371600" cy="585104"/>
    <xdr:pic>
      <xdr:nvPicPr>
        <xdr:cNvPr id="7" name="Imagen 6">
          <a:extLst>
            <a:ext uri="{FF2B5EF4-FFF2-40B4-BE49-F238E27FC236}">
              <a16:creationId xmlns:a16="http://schemas.microsoft.com/office/drawing/2014/main" id="{EDBBB8D5-980B-2443-9D0C-850B4A460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146723100"/>
          <a:ext cx="1371600" cy="58510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908</xdr:row>
      <xdr:rowOff>0</xdr:rowOff>
    </xdr:from>
    <xdr:ext cx="1371600" cy="585104"/>
    <xdr:pic>
      <xdr:nvPicPr>
        <xdr:cNvPr id="8" name="Imagen 7">
          <a:extLst>
            <a:ext uri="{FF2B5EF4-FFF2-40B4-BE49-F238E27FC236}">
              <a16:creationId xmlns:a16="http://schemas.microsoft.com/office/drawing/2014/main" id="{09C66D0E-0C47-D24B-BC0C-074907AC0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181025800"/>
          <a:ext cx="1371600" cy="58510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622</xdr:row>
      <xdr:rowOff>0</xdr:rowOff>
    </xdr:from>
    <xdr:ext cx="1371600" cy="585105"/>
    <xdr:pic>
      <xdr:nvPicPr>
        <xdr:cNvPr id="9" name="Imagen 8">
          <a:extLst>
            <a:ext uri="{FF2B5EF4-FFF2-40B4-BE49-F238E27FC236}">
              <a16:creationId xmlns:a16="http://schemas.microsoft.com/office/drawing/2014/main" id="{77BA43C2-B17C-F449-8CDD-ABD27C674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123977400"/>
          <a:ext cx="1371600" cy="585105"/>
        </a:xfrm>
        <a:prstGeom prst="rect">
          <a:avLst/>
        </a:prstGeom>
      </xdr:spPr>
    </xdr:pic>
    <xdr:clientData/>
  </xdr:oneCellAnchor>
  <xdr:oneCellAnchor>
    <xdr:from>
      <xdr:col>5</xdr:col>
      <xdr:colOff>342900</xdr:colOff>
      <xdr:row>51</xdr:row>
      <xdr:rowOff>127000</xdr:rowOff>
    </xdr:from>
    <xdr:ext cx="1371600" cy="580871"/>
    <xdr:pic>
      <xdr:nvPicPr>
        <xdr:cNvPr id="10" name="Imagen 9">
          <a:extLst>
            <a:ext uri="{FF2B5EF4-FFF2-40B4-BE49-F238E27FC236}">
              <a16:creationId xmlns:a16="http://schemas.microsoft.com/office/drawing/2014/main" id="{536DFD0F-352A-8D48-A5A2-D596AD7B2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3800" y="10477500"/>
          <a:ext cx="1371600" cy="580871"/>
        </a:xfrm>
        <a:prstGeom prst="rect">
          <a:avLst/>
        </a:prstGeom>
      </xdr:spPr>
    </xdr:pic>
    <xdr:clientData/>
  </xdr:oneCellAnchor>
  <xdr:oneCellAnchor>
    <xdr:from>
      <xdr:col>5</xdr:col>
      <xdr:colOff>431800</xdr:colOff>
      <xdr:row>1021</xdr:row>
      <xdr:rowOff>63500</xdr:rowOff>
    </xdr:from>
    <xdr:ext cx="1371600" cy="695171"/>
    <xdr:pic>
      <xdr:nvPicPr>
        <xdr:cNvPr id="11" name="Imagen 10">
          <a:extLst>
            <a:ext uri="{FF2B5EF4-FFF2-40B4-BE49-F238E27FC236}">
              <a16:creationId xmlns:a16="http://schemas.microsoft.com/office/drawing/2014/main" id="{AA812289-B566-A548-8D87-2FB8B9305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2700" y="203454000"/>
          <a:ext cx="1371600" cy="695171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221</xdr:row>
      <xdr:rowOff>0</xdr:rowOff>
    </xdr:from>
    <xdr:ext cx="1371600" cy="585104"/>
    <xdr:pic>
      <xdr:nvPicPr>
        <xdr:cNvPr id="12" name="Imagen 11">
          <a:extLst>
            <a:ext uri="{FF2B5EF4-FFF2-40B4-BE49-F238E27FC236}">
              <a16:creationId xmlns:a16="http://schemas.microsoft.com/office/drawing/2014/main" id="{86AF6056-6AA7-1F42-A515-F1FA63236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44157900"/>
          <a:ext cx="1371600" cy="58510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336</xdr:row>
      <xdr:rowOff>0</xdr:rowOff>
    </xdr:from>
    <xdr:ext cx="1371600" cy="585104"/>
    <xdr:pic>
      <xdr:nvPicPr>
        <xdr:cNvPr id="13" name="Imagen 12">
          <a:extLst>
            <a:ext uri="{FF2B5EF4-FFF2-40B4-BE49-F238E27FC236}">
              <a16:creationId xmlns:a16="http://schemas.microsoft.com/office/drawing/2014/main" id="{6F6F592B-43FB-FD4A-B74F-BF5EA69CD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67246500"/>
          <a:ext cx="1371600" cy="585104"/>
        </a:xfrm>
        <a:prstGeom prst="rect">
          <a:avLst/>
        </a:prstGeom>
      </xdr:spPr>
    </xdr:pic>
    <xdr:clientData/>
  </xdr:oneCellAnchor>
  <xdr:oneCellAnchor>
    <xdr:from>
      <xdr:col>5</xdr:col>
      <xdr:colOff>368300</xdr:colOff>
      <xdr:row>392</xdr:row>
      <xdr:rowOff>101600</xdr:rowOff>
    </xdr:from>
    <xdr:ext cx="1371600" cy="572405"/>
    <xdr:pic>
      <xdr:nvPicPr>
        <xdr:cNvPr id="14" name="Imagen 13">
          <a:extLst>
            <a:ext uri="{FF2B5EF4-FFF2-40B4-BE49-F238E27FC236}">
              <a16:creationId xmlns:a16="http://schemas.microsoft.com/office/drawing/2014/main" id="{7CF7C1BF-2584-004A-B610-052434E88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9200" y="78409800"/>
          <a:ext cx="1371600" cy="572405"/>
        </a:xfrm>
        <a:prstGeom prst="rect">
          <a:avLst/>
        </a:prstGeom>
      </xdr:spPr>
    </xdr:pic>
    <xdr:clientData/>
  </xdr:oneCellAnchor>
  <xdr:oneCellAnchor>
    <xdr:from>
      <xdr:col>5</xdr:col>
      <xdr:colOff>368300</xdr:colOff>
      <xdr:row>449</xdr:row>
      <xdr:rowOff>101600</xdr:rowOff>
    </xdr:from>
    <xdr:ext cx="1371600" cy="572405"/>
    <xdr:pic>
      <xdr:nvPicPr>
        <xdr:cNvPr id="15" name="Imagen 14">
          <a:extLst>
            <a:ext uri="{FF2B5EF4-FFF2-40B4-BE49-F238E27FC236}">
              <a16:creationId xmlns:a16="http://schemas.microsoft.com/office/drawing/2014/main" id="{123DDDBB-45BA-904B-9AFA-8F7AFA462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9200" y="89687400"/>
          <a:ext cx="1371600" cy="572405"/>
        </a:xfrm>
        <a:prstGeom prst="rect">
          <a:avLst/>
        </a:prstGeom>
      </xdr:spPr>
    </xdr:pic>
    <xdr:clientData/>
  </xdr:oneCellAnchor>
  <xdr:twoCellAnchor editAs="oneCell">
    <xdr:from>
      <xdr:col>5</xdr:col>
      <xdr:colOff>0</xdr:colOff>
      <xdr:row>794</xdr:row>
      <xdr:rowOff>0</xdr:rowOff>
    </xdr:from>
    <xdr:to>
      <xdr:col>5</xdr:col>
      <xdr:colOff>1371600</xdr:colOff>
      <xdr:row>796</xdr:row>
      <xdr:rowOff>161771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F2465A7-542E-5F41-8229-FE73E2CBB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158165800"/>
          <a:ext cx="1371600" cy="56817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679</xdr:row>
      <xdr:rowOff>0</xdr:rowOff>
    </xdr:from>
    <xdr:to>
      <xdr:col>5</xdr:col>
      <xdr:colOff>1371600</xdr:colOff>
      <xdr:row>681</xdr:row>
      <xdr:rowOff>161771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CD91D67-6B83-C44C-86F9-98F4714AF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135293100"/>
          <a:ext cx="1371600" cy="568171"/>
        </a:xfrm>
        <a:prstGeom prst="rect">
          <a:avLst/>
        </a:prstGeom>
      </xdr:spPr>
    </xdr:pic>
    <xdr:clientData/>
  </xdr:twoCellAnchor>
  <xdr:oneCellAnchor>
    <xdr:from>
      <xdr:col>5</xdr:col>
      <xdr:colOff>419100</xdr:colOff>
      <xdr:row>2506</xdr:row>
      <xdr:rowOff>73629</xdr:rowOff>
    </xdr:from>
    <xdr:ext cx="1485900" cy="712160"/>
    <xdr:pic>
      <xdr:nvPicPr>
        <xdr:cNvPr id="18" name="Imagen 17">
          <a:extLst>
            <a:ext uri="{FF2B5EF4-FFF2-40B4-BE49-F238E27FC236}">
              <a16:creationId xmlns:a16="http://schemas.microsoft.com/office/drawing/2014/main" id="{52093AA8-5664-9342-9134-0605E93BC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0" y="499247129"/>
          <a:ext cx="1485900" cy="712160"/>
        </a:xfrm>
        <a:prstGeom prst="rect">
          <a:avLst/>
        </a:prstGeom>
      </xdr:spPr>
    </xdr:pic>
    <xdr:clientData/>
  </xdr:oneCellAnchor>
  <xdr:twoCellAnchor editAs="oneCell">
    <xdr:from>
      <xdr:col>5</xdr:col>
      <xdr:colOff>304800</xdr:colOff>
      <xdr:row>2563</xdr:row>
      <xdr:rowOff>95684</xdr:rowOff>
    </xdr:from>
    <xdr:to>
      <xdr:col>5</xdr:col>
      <xdr:colOff>1727200</xdr:colOff>
      <xdr:row>2566</xdr:row>
      <xdr:rowOff>136371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BED739F-A32C-784A-AD34-980D538F0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5700" y="510546784"/>
          <a:ext cx="1422400" cy="662987"/>
        </a:xfrm>
        <a:prstGeom prst="rect">
          <a:avLst/>
        </a:prstGeom>
      </xdr:spPr>
    </xdr:pic>
    <xdr:clientData/>
  </xdr:twoCellAnchor>
  <xdr:twoCellAnchor editAs="oneCell">
    <xdr:from>
      <xdr:col>5</xdr:col>
      <xdr:colOff>584200</xdr:colOff>
      <xdr:row>2797</xdr:row>
      <xdr:rowOff>70978</xdr:rowOff>
    </xdr:from>
    <xdr:to>
      <xdr:col>5</xdr:col>
      <xdr:colOff>1790700</xdr:colOff>
      <xdr:row>2800</xdr:row>
      <xdr:rowOff>60171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2E4B64B4-A008-3943-A7CD-B34FF3FBF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5100" y="556699278"/>
          <a:ext cx="1206500" cy="611493"/>
        </a:xfrm>
        <a:prstGeom prst="rect">
          <a:avLst/>
        </a:prstGeom>
      </xdr:spPr>
    </xdr:pic>
    <xdr:clientData/>
  </xdr:twoCellAnchor>
  <xdr:twoCellAnchor editAs="oneCell">
    <xdr:from>
      <xdr:col>5</xdr:col>
      <xdr:colOff>406400</xdr:colOff>
      <xdr:row>2682</xdr:row>
      <xdr:rowOff>63500</xdr:rowOff>
    </xdr:from>
    <xdr:to>
      <xdr:col>5</xdr:col>
      <xdr:colOff>2006600</xdr:colOff>
      <xdr:row>2685</xdr:row>
      <xdr:rowOff>136371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BC30B5A2-0E50-0F44-B02C-7DEFC60F2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7300" y="533895300"/>
          <a:ext cx="1600200" cy="695171"/>
        </a:xfrm>
        <a:prstGeom prst="rect">
          <a:avLst/>
        </a:prstGeom>
      </xdr:spPr>
    </xdr:pic>
    <xdr:clientData/>
  </xdr:twoCellAnchor>
  <xdr:twoCellAnchor editAs="oneCell">
    <xdr:from>
      <xdr:col>5</xdr:col>
      <xdr:colOff>165100</xdr:colOff>
      <xdr:row>2912</xdr:row>
      <xdr:rowOff>50800</xdr:rowOff>
    </xdr:from>
    <xdr:to>
      <xdr:col>5</xdr:col>
      <xdr:colOff>1828800</xdr:colOff>
      <xdr:row>2915</xdr:row>
      <xdr:rowOff>123671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EFCA08A-227B-C742-9E35-63586A77A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579399400"/>
          <a:ext cx="1663700" cy="695171"/>
        </a:xfrm>
        <a:prstGeom prst="rect">
          <a:avLst/>
        </a:prstGeom>
      </xdr:spPr>
    </xdr:pic>
    <xdr:clientData/>
  </xdr:twoCellAnchor>
  <xdr:twoCellAnchor editAs="oneCell">
    <xdr:from>
      <xdr:col>5</xdr:col>
      <xdr:colOff>266700</xdr:colOff>
      <xdr:row>3026</xdr:row>
      <xdr:rowOff>57584</xdr:rowOff>
    </xdr:from>
    <xdr:to>
      <xdr:col>5</xdr:col>
      <xdr:colOff>1574800</xdr:colOff>
      <xdr:row>3029</xdr:row>
      <xdr:rowOff>98271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C4E75210-A0FD-274A-A325-757ACF0A0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7600" y="601999484"/>
          <a:ext cx="1308100" cy="662987"/>
        </a:xfrm>
        <a:prstGeom prst="rect">
          <a:avLst/>
        </a:prstGeom>
      </xdr:spPr>
    </xdr:pic>
    <xdr:clientData/>
  </xdr:twoCellAnchor>
  <xdr:twoCellAnchor editAs="oneCell">
    <xdr:from>
      <xdr:col>5</xdr:col>
      <xdr:colOff>495300</xdr:colOff>
      <xdr:row>3083</xdr:row>
      <xdr:rowOff>51494</xdr:rowOff>
    </xdr:from>
    <xdr:to>
      <xdr:col>5</xdr:col>
      <xdr:colOff>1892300</xdr:colOff>
      <xdr:row>3086</xdr:row>
      <xdr:rowOff>72871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F42BCC34-546C-1E4D-B9D1-66EF81C4F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6200" y="613270994"/>
          <a:ext cx="1397000" cy="643677"/>
        </a:xfrm>
        <a:prstGeom prst="rect">
          <a:avLst/>
        </a:prstGeom>
      </xdr:spPr>
    </xdr:pic>
    <xdr:clientData/>
  </xdr:twoCellAnchor>
  <xdr:oneCellAnchor>
    <xdr:from>
      <xdr:col>5</xdr:col>
      <xdr:colOff>431800</xdr:colOff>
      <xdr:row>2391</xdr:row>
      <xdr:rowOff>63500</xdr:rowOff>
    </xdr:from>
    <xdr:ext cx="1371600" cy="695171"/>
    <xdr:pic>
      <xdr:nvPicPr>
        <xdr:cNvPr id="25" name="Imagen 24">
          <a:extLst>
            <a:ext uri="{FF2B5EF4-FFF2-40B4-BE49-F238E27FC236}">
              <a16:creationId xmlns:a16="http://schemas.microsoft.com/office/drawing/2014/main" id="{3C102ACB-9C90-8642-BDEC-EE21A68D7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2700" y="476300800"/>
          <a:ext cx="1371600" cy="695171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965</xdr:row>
      <xdr:rowOff>0</xdr:rowOff>
    </xdr:from>
    <xdr:ext cx="1371600" cy="585104"/>
    <xdr:pic>
      <xdr:nvPicPr>
        <xdr:cNvPr id="26" name="Imagen 25">
          <a:extLst>
            <a:ext uri="{FF2B5EF4-FFF2-40B4-BE49-F238E27FC236}">
              <a16:creationId xmlns:a16="http://schemas.microsoft.com/office/drawing/2014/main" id="{157AABF6-538D-6949-BB7F-32673C9D8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192328800"/>
          <a:ext cx="1371600" cy="58510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1419</xdr:row>
      <xdr:rowOff>0</xdr:rowOff>
    </xdr:from>
    <xdr:ext cx="1371600" cy="585104"/>
    <xdr:pic>
      <xdr:nvPicPr>
        <xdr:cNvPr id="27" name="Imagen 26">
          <a:extLst>
            <a:ext uri="{FF2B5EF4-FFF2-40B4-BE49-F238E27FC236}">
              <a16:creationId xmlns:a16="http://schemas.microsoft.com/office/drawing/2014/main" id="{63209B09-3336-6742-B18C-DE7200082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282816300"/>
          <a:ext cx="1371600" cy="585104"/>
        </a:xfrm>
        <a:prstGeom prst="rect">
          <a:avLst/>
        </a:prstGeom>
      </xdr:spPr>
    </xdr:pic>
    <xdr:clientData/>
  </xdr:oneCellAnchor>
  <xdr:oneCellAnchor>
    <xdr:from>
      <xdr:col>5</xdr:col>
      <xdr:colOff>190500</xdr:colOff>
      <xdr:row>4639</xdr:row>
      <xdr:rowOff>127000</xdr:rowOff>
    </xdr:from>
    <xdr:ext cx="1422400" cy="568171"/>
    <xdr:pic>
      <xdr:nvPicPr>
        <xdr:cNvPr id="28" name="Imagen 27">
          <a:extLst>
            <a:ext uri="{FF2B5EF4-FFF2-40B4-BE49-F238E27FC236}">
              <a16:creationId xmlns:a16="http://schemas.microsoft.com/office/drawing/2014/main" id="{1DD92CF0-D13F-CB40-8FC3-349927828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1400" y="922121600"/>
          <a:ext cx="1422400" cy="568171"/>
        </a:xfrm>
        <a:prstGeom prst="rect">
          <a:avLst/>
        </a:prstGeom>
      </xdr:spPr>
    </xdr:pic>
    <xdr:clientData/>
  </xdr:oneCellAnchor>
  <xdr:oneCellAnchor>
    <xdr:from>
      <xdr:col>5</xdr:col>
      <xdr:colOff>190500</xdr:colOff>
      <xdr:row>4639</xdr:row>
      <xdr:rowOff>127000</xdr:rowOff>
    </xdr:from>
    <xdr:ext cx="1422400" cy="568171"/>
    <xdr:pic>
      <xdr:nvPicPr>
        <xdr:cNvPr id="29" name="Imagen 28">
          <a:extLst>
            <a:ext uri="{FF2B5EF4-FFF2-40B4-BE49-F238E27FC236}">
              <a16:creationId xmlns:a16="http://schemas.microsoft.com/office/drawing/2014/main" id="{73190E67-2F5B-0C40-9C4A-4C1DD2836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1400" y="922121600"/>
          <a:ext cx="1422400" cy="568171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851</xdr:row>
      <xdr:rowOff>0</xdr:rowOff>
    </xdr:from>
    <xdr:ext cx="1371600" cy="585104"/>
    <xdr:pic>
      <xdr:nvPicPr>
        <xdr:cNvPr id="30" name="Imagen 29">
          <a:extLst>
            <a:ext uri="{FF2B5EF4-FFF2-40B4-BE49-F238E27FC236}">
              <a16:creationId xmlns:a16="http://schemas.microsoft.com/office/drawing/2014/main" id="{F1AC6E7E-5867-C649-8C74-ED05C2671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169608500"/>
          <a:ext cx="1371600" cy="585104"/>
        </a:xfrm>
        <a:prstGeom prst="rect">
          <a:avLst/>
        </a:prstGeom>
      </xdr:spPr>
    </xdr:pic>
    <xdr:clientData/>
  </xdr:oneCellAnchor>
  <xdr:oneCellAnchor>
    <xdr:from>
      <xdr:col>5</xdr:col>
      <xdr:colOff>596900</xdr:colOff>
      <xdr:row>1078</xdr:row>
      <xdr:rowOff>127000</xdr:rowOff>
    </xdr:from>
    <xdr:ext cx="1371600" cy="572404"/>
    <xdr:pic>
      <xdr:nvPicPr>
        <xdr:cNvPr id="31" name="Imagen 30">
          <a:extLst>
            <a:ext uri="{FF2B5EF4-FFF2-40B4-BE49-F238E27FC236}">
              <a16:creationId xmlns:a16="http://schemas.microsoft.com/office/drawing/2014/main" id="{A17CB914-C642-1449-B9E1-04253A73A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7800" y="214884000"/>
          <a:ext cx="1371600" cy="57240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1136</xdr:row>
      <xdr:rowOff>0</xdr:rowOff>
    </xdr:from>
    <xdr:ext cx="1371600" cy="585105"/>
    <xdr:pic>
      <xdr:nvPicPr>
        <xdr:cNvPr id="32" name="Imagen 31">
          <a:extLst>
            <a:ext uri="{FF2B5EF4-FFF2-40B4-BE49-F238E27FC236}">
              <a16:creationId xmlns:a16="http://schemas.microsoft.com/office/drawing/2014/main" id="{5B2C9C28-E0F3-F74F-B7F3-C1CC9C465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226339400"/>
          <a:ext cx="1371600" cy="58510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1193</xdr:row>
      <xdr:rowOff>0</xdr:rowOff>
    </xdr:from>
    <xdr:ext cx="1371600" cy="585105"/>
    <xdr:pic>
      <xdr:nvPicPr>
        <xdr:cNvPr id="33" name="Imagen 32">
          <a:extLst>
            <a:ext uri="{FF2B5EF4-FFF2-40B4-BE49-F238E27FC236}">
              <a16:creationId xmlns:a16="http://schemas.microsoft.com/office/drawing/2014/main" id="{F8A2650A-9A94-8944-9192-D313FBF4C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237705900"/>
          <a:ext cx="1371600" cy="585105"/>
        </a:xfrm>
        <a:prstGeom prst="rect">
          <a:avLst/>
        </a:prstGeom>
      </xdr:spPr>
    </xdr:pic>
    <xdr:clientData/>
  </xdr:oneCellAnchor>
  <xdr:oneCellAnchor>
    <xdr:from>
      <xdr:col>5</xdr:col>
      <xdr:colOff>596900</xdr:colOff>
      <xdr:row>1249</xdr:row>
      <xdr:rowOff>127000</xdr:rowOff>
    </xdr:from>
    <xdr:ext cx="1371600" cy="572404"/>
    <xdr:pic>
      <xdr:nvPicPr>
        <xdr:cNvPr id="34" name="Imagen 33">
          <a:extLst>
            <a:ext uri="{FF2B5EF4-FFF2-40B4-BE49-F238E27FC236}">
              <a16:creationId xmlns:a16="http://schemas.microsoft.com/office/drawing/2014/main" id="{F9ED63D6-ED15-D34B-9CC7-6F8A32B34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7800" y="248983500"/>
          <a:ext cx="1371600" cy="57240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1307</xdr:row>
      <xdr:rowOff>0</xdr:rowOff>
    </xdr:from>
    <xdr:ext cx="1371600" cy="585105"/>
    <xdr:pic>
      <xdr:nvPicPr>
        <xdr:cNvPr id="35" name="Imagen 34">
          <a:extLst>
            <a:ext uri="{FF2B5EF4-FFF2-40B4-BE49-F238E27FC236}">
              <a16:creationId xmlns:a16="http://schemas.microsoft.com/office/drawing/2014/main" id="{D79CE647-1A1A-3340-BFD4-627F9482C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260438900"/>
          <a:ext cx="1371600" cy="58510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1364</xdr:row>
      <xdr:rowOff>0</xdr:rowOff>
    </xdr:from>
    <xdr:ext cx="1371600" cy="585105"/>
    <xdr:pic>
      <xdr:nvPicPr>
        <xdr:cNvPr id="36" name="Imagen 35">
          <a:extLst>
            <a:ext uri="{FF2B5EF4-FFF2-40B4-BE49-F238E27FC236}">
              <a16:creationId xmlns:a16="http://schemas.microsoft.com/office/drawing/2014/main" id="{CC4A7C49-5A00-7047-81C2-209443BDE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271805400"/>
          <a:ext cx="1371600" cy="585105"/>
        </a:xfrm>
        <a:prstGeom prst="rect">
          <a:avLst/>
        </a:prstGeom>
      </xdr:spPr>
    </xdr:pic>
    <xdr:clientData/>
  </xdr:oneCellAnchor>
  <xdr:oneCellAnchor>
    <xdr:from>
      <xdr:col>5</xdr:col>
      <xdr:colOff>431800</xdr:colOff>
      <xdr:row>1475</xdr:row>
      <xdr:rowOff>63500</xdr:rowOff>
    </xdr:from>
    <xdr:ext cx="1371600" cy="695171"/>
    <xdr:pic>
      <xdr:nvPicPr>
        <xdr:cNvPr id="37" name="Imagen 36">
          <a:extLst>
            <a:ext uri="{FF2B5EF4-FFF2-40B4-BE49-F238E27FC236}">
              <a16:creationId xmlns:a16="http://schemas.microsoft.com/office/drawing/2014/main" id="{A949640C-54A8-3944-9ADE-95CEC1464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2700" y="293979600"/>
          <a:ext cx="1371600" cy="695171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1534</xdr:row>
      <xdr:rowOff>0</xdr:rowOff>
    </xdr:from>
    <xdr:ext cx="1422400" cy="568171"/>
    <xdr:pic>
      <xdr:nvPicPr>
        <xdr:cNvPr id="38" name="Imagen 37">
          <a:extLst>
            <a:ext uri="{FF2B5EF4-FFF2-40B4-BE49-F238E27FC236}">
              <a16:creationId xmlns:a16="http://schemas.microsoft.com/office/drawing/2014/main" id="{067EA611-D31A-7A46-81E4-23B7544DB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305612800"/>
          <a:ext cx="1422400" cy="568171"/>
        </a:xfrm>
        <a:prstGeom prst="rect">
          <a:avLst/>
        </a:prstGeom>
      </xdr:spPr>
    </xdr:pic>
    <xdr:clientData/>
  </xdr:oneCellAnchor>
  <xdr:twoCellAnchor editAs="oneCell">
    <xdr:from>
      <xdr:col>5</xdr:col>
      <xdr:colOff>0</xdr:colOff>
      <xdr:row>1591</xdr:row>
      <xdr:rowOff>0</xdr:rowOff>
    </xdr:from>
    <xdr:to>
      <xdr:col>5</xdr:col>
      <xdr:colOff>1422400</xdr:colOff>
      <xdr:row>1593</xdr:row>
      <xdr:rowOff>161771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5A0D1F2B-C22F-2F46-B2C1-9D289A7BF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316928500"/>
          <a:ext cx="1422400" cy="568171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1591</xdr:row>
      <xdr:rowOff>0</xdr:rowOff>
    </xdr:from>
    <xdr:ext cx="1422400" cy="568171"/>
    <xdr:pic>
      <xdr:nvPicPr>
        <xdr:cNvPr id="40" name="Imagen 39">
          <a:extLst>
            <a:ext uri="{FF2B5EF4-FFF2-40B4-BE49-F238E27FC236}">
              <a16:creationId xmlns:a16="http://schemas.microsoft.com/office/drawing/2014/main" id="{D26B2BD8-3661-9042-9AB5-1A6C63B0D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316928500"/>
          <a:ext cx="1422400" cy="568171"/>
        </a:xfrm>
        <a:prstGeom prst="rect">
          <a:avLst/>
        </a:prstGeom>
      </xdr:spPr>
    </xdr:pic>
    <xdr:clientData/>
  </xdr:oneCellAnchor>
  <xdr:oneCellAnchor>
    <xdr:from>
      <xdr:col>5</xdr:col>
      <xdr:colOff>342900</xdr:colOff>
      <xdr:row>1647</xdr:row>
      <xdr:rowOff>127000</xdr:rowOff>
    </xdr:from>
    <xdr:ext cx="1371600" cy="585104"/>
    <xdr:pic>
      <xdr:nvPicPr>
        <xdr:cNvPr id="41" name="Imagen 40">
          <a:extLst>
            <a:ext uri="{FF2B5EF4-FFF2-40B4-BE49-F238E27FC236}">
              <a16:creationId xmlns:a16="http://schemas.microsoft.com/office/drawing/2014/main" id="{A9BA2B5A-204C-B345-A316-6FBA49350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3800" y="328117200"/>
          <a:ext cx="1371600" cy="585104"/>
        </a:xfrm>
        <a:prstGeom prst="rect">
          <a:avLst/>
        </a:prstGeom>
      </xdr:spPr>
    </xdr:pic>
    <xdr:clientData/>
  </xdr:oneCellAnchor>
  <xdr:oneCellAnchor>
    <xdr:from>
      <xdr:col>5</xdr:col>
      <xdr:colOff>342900</xdr:colOff>
      <xdr:row>1704</xdr:row>
      <xdr:rowOff>127000</xdr:rowOff>
    </xdr:from>
    <xdr:ext cx="1371600" cy="585104"/>
    <xdr:pic>
      <xdr:nvPicPr>
        <xdr:cNvPr id="42" name="Imagen 41">
          <a:extLst>
            <a:ext uri="{FF2B5EF4-FFF2-40B4-BE49-F238E27FC236}">
              <a16:creationId xmlns:a16="http://schemas.microsoft.com/office/drawing/2014/main" id="{79ED2F51-BA07-824E-8145-100B7653D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3800" y="339394800"/>
          <a:ext cx="1371600" cy="58510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1762</xdr:row>
      <xdr:rowOff>0</xdr:rowOff>
    </xdr:from>
    <xdr:ext cx="1371600" cy="585105"/>
    <xdr:pic>
      <xdr:nvPicPr>
        <xdr:cNvPr id="43" name="Imagen 42">
          <a:extLst>
            <a:ext uri="{FF2B5EF4-FFF2-40B4-BE49-F238E27FC236}">
              <a16:creationId xmlns:a16="http://schemas.microsoft.com/office/drawing/2014/main" id="{B0A9DFAF-CCAC-8742-810E-95ED4A881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350850200"/>
          <a:ext cx="1371600" cy="58510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1819</xdr:row>
      <xdr:rowOff>0</xdr:rowOff>
    </xdr:from>
    <xdr:ext cx="1371600" cy="585104"/>
    <xdr:pic>
      <xdr:nvPicPr>
        <xdr:cNvPr id="44" name="Imagen 43">
          <a:extLst>
            <a:ext uri="{FF2B5EF4-FFF2-40B4-BE49-F238E27FC236}">
              <a16:creationId xmlns:a16="http://schemas.microsoft.com/office/drawing/2014/main" id="{0D2C5888-89F0-6947-8F20-4C15CD792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362280200"/>
          <a:ext cx="1371600" cy="58510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1877</xdr:row>
      <xdr:rowOff>0</xdr:rowOff>
    </xdr:from>
    <xdr:ext cx="1371600" cy="568171"/>
    <xdr:pic>
      <xdr:nvPicPr>
        <xdr:cNvPr id="45" name="Imagen 44">
          <a:extLst>
            <a:ext uri="{FF2B5EF4-FFF2-40B4-BE49-F238E27FC236}">
              <a16:creationId xmlns:a16="http://schemas.microsoft.com/office/drawing/2014/main" id="{DF2EB9CA-3AA2-5249-8C97-1A56DDEB3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373722900"/>
          <a:ext cx="1371600" cy="568171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1934</xdr:row>
      <xdr:rowOff>0</xdr:rowOff>
    </xdr:from>
    <xdr:ext cx="1371600" cy="585104"/>
    <xdr:pic>
      <xdr:nvPicPr>
        <xdr:cNvPr id="46" name="Imagen 45">
          <a:extLst>
            <a:ext uri="{FF2B5EF4-FFF2-40B4-BE49-F238E27FC236}">
              <a16:creationId xmlns:a16="http://schemas.microsoft.com/office/drawing/2014/main" id="{2474A90F-79E9-354E-ABEB-2FB147D42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385165600"/>
          <a:ext cx="1371600" cy="58510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1991</xdr:row>
      <xdr:rowOff>0</xdr:rowOff>
    </xdr:from>
    <xdr:ext cx="1371600" cy="585104"/>
    <xdr:pic>
      <xdr:nvPicPr>
        <xdr:cNvPr id="47" name="Imagen 46">
          <a:extLst>
            <a:ext uri="{FF2B5EF4-FFF2-40B4-BE49-F238E27FC236}">
              <a16:creationId xmlns:a16="http://schemas.microsoft.com/office/drawing/2014/main" id="{4431B860-7AFB-A445-A2B2-650756070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396582900"/>
          <a:ext cx="1371600" cy="58510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2048</xdr:row>
      <xdr:rowOff>0</xdr:rowOff>
    </xdr:from>
    <xdr:ext cx="1371600" cy="585104"/>
    <xdr:pic>
      <xdr:nvPicPr>
        <xdr:cNvPr id="48" name="Imagen 47">
          <a:extLst>
            <a:ext uri="{FF2B5EF4-FFF2-40B4-BE49-F238E27FC236}">
              <a16:creationId xmlns:a16="http://schemas.microsoft.com/office/drawing/2014/main" id="{72C02928-0D4A-814C-927B-E65A8CBDC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408000200"/>
          <a:ext cx="1371600" cy="58510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2105</xdr:row>
      <xdr:rowOff>0</xdr:rowOff>
    </xdr:from>
    <xdr:ext cx="1371600" cy="585104"/>
    <xdr:pic>
      <xdr:nvPicPr>
        <xdr:cNvPr id="49" name="Imagen 48">
          <a:extLst>
            <a:ext uri="{FF2B5EF4-FFF2-40B4-BE49-F238E27FC236}">
              <a16:creationId xmlns:a16="http://schemas.microsoft.com/office/drawing/2014/main" id="{99EF74A4-59EB-4347-A7DB-ACED6C2C6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419417500"/>
          <a:ext cx="1371600" cy="585104"/>
        </a:xfrm>
        <a:prstGeom prst="rect">
          <a:avLst/>
        </a:prstGeom>
      </xdr:spPr>
    </xdr:pic>
    <xdr:clientData/>
  </xdr:oneCellAnchor>
  <xdr:oneCellAnchor>
    <xdr:from>
      <xdr:col>5</xdr:col>
      <xdr:colOff>596900</xdr:colOff>
      <xdr:row>2161</xdr:row>
      <xdr:rowOff>127000</xdr:rowOff>
    </xdr:from>
    <xdr:ext cx="1371600" cy="572404"/>
    <xdr:pic>
      <xdr:nvPicPr>
        <xdr:cNvPr id="50" name="Imagen 49">
          <a:extLst>
            <a:ext uri="{FF2B5EF4-FFF2-40B4-BE49-F238E27FC236}">
              <a16:creationId xmlns:a16="http://schemas.microsoft.com/office/drawing/2014/main" id="{A7A31DC5-6DAC-A843-9B78-248E8C1EF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7800" y="430695100"/>
          <a:ext cx="1371600" cy="57240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2277</xdr:row>
      <xdr:rowOff>0</xdr:rowOff>
    </xdr:from>
    <xdr:ext cx="1371600" cy="585104"/>
    <xdr:pic>
      <xdr:nvPicPr>
        <xdr:cNvPr id="51" name="Imagen 50">
          <a:extLst>
            <a:ext uri="{FF2B5EF4-FFF2-40B4-BE49-F238E27FC236}">
              <a16:creationId xmlns:a16="http://schemas.microsoft.com/office/drawing/2014/main" id="{0C502792-C50F-E844-8788-5A04FF60D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453732900"/>
          <a:ext cx="1371600" cy="58510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2335</xdr:row>
      <xdr:rowOff>0</xdr:rowOff>
    </xdr:from>
    <xdr:ext cx="1371600" cy="568171"/>
    <xdr:pic>
      <xdr:nvPicPr>
        <xdr:cNvPr id="52" name="Imagen 51">
          <a:extLst>
            <a:ext uri="{FF2B5EF4-FFF2-40B4-BE49-F238E27FC236}">
              <a16:creationId xmlns:a16="http://schemas.microsoft.com/office/drawing/2014/main" id="{D7BA8985-5CFA-1240-89BD-9700BFFE1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465175600"/>
          <a:ext cx="1371600" cy="568171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2220</xdr:row>
      <xdr:rowOff>0</xdr:rowOff>
    </xdr:from>
    <xdr:ext cx="1371600" cy="568171"/>
    <xdr:pic>
      <xdr:nvPicPr>
        <xdr:cNvPr id="53" name="Imagen 52">
          <a:extLst>
            <a:ext uri="{FF2B5EF4-FFF2-40B4-BE49-F238E27FC236}">
              <a16:creationId xmlns:a16="http://schemas.microsoft.com/office/drawing/2014/main" id="{7BE58493-9F5A-DB43-98E5-D7587A2E0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442302900"/>
          <a:ext cx="1371600" cy="568171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2449</xdr:row>
      <xdr:rowOff>0</xdr:rowOff>
    </xdr:from>
    <xdr:ext cx="1371600" cy="585104"/>
    <xdr:pic>
      <xdr:nvPicPr>
        <xdr:cNvPr id="54" name="Imagen 53">
          <a:extLst>
            <a:ext uri="{FF2B5EF4-FFF2-40B4-BE49-F238E27FC236}">
              <a16:creationId xmlns:a16="http://schemas.microsoft.com/office/drawing/2014/main" id="{B0215BD7-1A20-0640-986D-F5C6EDEB1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487870500"/>
          <a:ext cx="1371600" cy="585104"/>
        </a:xfrm>
        <a:prstGeom prst="rect">
          <a:avLst/>
        </a:prstGeom>
      </xdr:spPr>
    </xdr:pic>
    <xdr:clientData/>
  </xdr:oneCellAnchor>
  <xdr:twoCellAnchor editAs="oneCell">
    <xdr:from>
      <xdr:col>5</xdr:col>
      <xdr:colOff>0</xdr:colOff>
      <xdr:row>2626</xdr:row>
      <xdr:rowOff>0</xdr:rowOff>
    </xdr:from>
    <xdr:to>
      <xdr:col>5</xdr:col>
      <xdr:colOff>1371600</xdr:colOff>
      <xdr:row>2628</xdr:row>
      <xdr:rowOff>161771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3ADA736A-848C-284B-AFE3-C90CC1039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522732000"/>
          <a:ext cx="1371600" cy="56817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2740</xdr:row>
      <xdr:rowOff>0</xdr:rowOff>
    </xdr:from>
    <xdr:to>
      <xdr:col>5</xdr:col>
      <xdr:colOff>1371600</xdr:colOff>
      <xdr:row>2742</xdr:row>
      <xdr:rowOff>161771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DB715157-6AD0-B24E-A76B-C5B2A8CA3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545363400"/>
          <a:ext cx="1371600" cy="568171"/>
        </a:xfrm>
        <a:prstGeom prst="rect">
          <a:avLst/>
        </a:prstGeom>
      </xdr:spPr>
    </xdr:pic>
    <xdr:clientData/>
  </xdr:twoCellAnchor>
  <xdr:twoCellAnchor editAs="oneCell">
    <xdr:from>
      <xdr:col>5</xdr:col>
      <xdr:colOff>393700</xdr:colOff>
      <xdr:row>2854</xdr:row>
      <xdr:rowOff>63500</xdr:rowOff>
    </xdr:from>
    <xdr:to>
      <xdr:col>5</xdr:col>
      <xdr:colOff>1765300</xdr:colOff>
      <xdr:row>2857</xdr:row>
      <xdr:rowOff>136371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4C1B75D7-D034-CF40-9495-1B995EB56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567969400"/>
          <a:ext cx="1371600" cy="69517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2969</xdr:row>
      <xdr:rowOff>0</xdr:rowOff>
    </xdr:from>
    <xdr:to>
      <xdr:col>5</xdr:col>
      <xdr:colOff>1371600</xdr:colOff>
      <xdr:row>2971</xdr:row>
      <xdr:rowOff>161771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CA592801-C544-3942-A127-D5F20FAD1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590677000"/>
          <a:ext cx="1371600" cy="568171"/>
        </a:xfrm>
        <a:prstGeom prst="rect">
          <a:avLst/>
        </a:prstGeom>
      </xdr:spPr>
    </xdr:pic>
    <xdr:clientData/>
  </xdr:twoCellAnchor>
  <xdr:oneCellAnchor>
    <xdr:from>
      <xdr:col>5</xdr:col>
      <xdr:colOff>495300</xdr:colOff>
      <xdr:row>3140</xdr:row>
      <xdr:rowOff>51494</xdr:rowOff>
    </xdr:from>
    <xdr:ext cx="1397000" cy="643677"/>
    <xdr:pic>
      <xdr:nvPicPr>
        <xdr:cNvPr id="59" name="Imagen 58">
          <a:extLst>
            <a:ext uri="{FF2B5EF4-FFF2-40B4-BE49-F238E27FC236}">
              <a16:creationId xmlns:a16="http://schemas.microsoft.com/office/drawing/2014/main" id="{B292F2C9-2631-0045-9EEB-F7DC6424A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6200" y="624586694"/>
          <a:ext cx="1397000" cy="643677"/>
        </a:xfrm>
        <a:prstGeom prst="rect">
          <a:avLst/>
        </a:prstGeom>
      </xdr:spPr>
    </xdr:pic>
    <xdr:clientData/>
  </xdr:oneCellAnchor>
  <xdr:oneCellAnchor>
    <xdr:from>
      <xdr:col>5</xdr:col>
      <xdr:colOff>495300</xdr:colOff>
      <xdr:row>3197</xdr:row>
      <xdr:rowOff>51494</xdr:rowOff>
    </xdr:from>
    <xdr:ext cx="1397000" cy="643677"/>
    <xdr:pic>
      <xdr:nvPicPr>
        <xdr:cNvPr id="60" name="Imagen 59">
          <a:extLst>
            <a:ext uri="{FF2B5EF4-FFF2-40B4-BE49-F238E27FC236}">
              <a16:creationId xmlns:a16="http://schemas.microsoft.com/office/drawing/2014/main" id="{F35CDE5F-464A-1648-9E67-84E9C6272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6200" y="635864294"/>
          <a:ext cx="1397000" cy="643677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3256</xdr:row>
      <xdr:rowOff>0</xdr:rowOff>
    </xdr:from>
    <xdr:ext cx="1422400" cy="568171"/>
    <xdr:pic>
      <xdr:nvPicPr>
        <xdr:cNvPr id="61" name="Imagen 60">
          <a:extLst>
            <a:ext uri="{FF2B5EF4-FFF2-40B4-BE49-F238E27FC236}">
              <a16:creationId xmlns:a16="http://schemas.microsoft.com/office/drawing/2014/main" id="{43F896CB-0BEC-5148-82B3-C09AF54D3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647509500"/>
          <a:ext cx="1422400" cy="568171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3313</xdr:row>
      <xdr:rowOff>0</xdr:rowOff>
    </xdr:from>
    <xdr:ext cx="1422400" cy="568171"/>
    <xdr:pic>
      <xdr:nvPicPr>
        <xdr:cNvPr id="62" name="Imagen 61">
          <a:extLst>
            <a:ext uri="{FF2B5EF4-FFF2-40B4-BE49-F238E27FC236}">
              <a16:creationId xmlns:a16="http://schemas.microsoft.com/office/drawing/2014/main" id="{81DFC1F9-6E35-1C4A-9E4B-2E6CEF10A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658825200"/>
          <a:ext cx="1422400" cy="568171"/>
        </a:xfrm>
        <a:prstGeom prst="rect">
          <a:avLst/>
        </a:prstGeom>
      </xdr:spPr>
    </xdr:pic>
    <xdr:clientData/>
  </xdr:oneCellAnchor>
  <xdr:oneCellAnchor>
    <xdr:from>
      <xdr:col>5</xdr:col>
      <xdr:colOff>266700</xdr:colOff>
      <xdr:row>3369</xdr:row>
      <xdr:rowOff>57584</xdr:rowOff>
    </xdr:from>
    <xdr:ext cx="1308100" cy="662987"/>
    <xdr:pic>
      <xdr:nvPicPr>
        <xdr:cNvPr id="63" name="Imagen 62">
          <a:extLst>
            <a:ext uri="{FF2B5EF4-FFF2-40B4-BE49-F238E27FC236}">
              <a16:creationId xmlns:a16="http://schemas.microsoft.com/office/drawing/2014/main" id="{0338726D-7BC0-9A48-BF6E-0BA7A418B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7600" y="669982584"/>
          <a:ext cx="1308100" cy="662987"/>
        </a:xfrm>
        <a:prstGeom prst="rect">
          <a:avLst/>
        </a:prstGeom>
      </xdr:spPr>
    </xdr:pic>
    <xdr:clientData/>
  </xdr:oneCellAnchor>
  <xdr:oneCellAnchor>
    <xdr:from>
      <xdr:col>5</xdr:col>
      <xdr:colOff>495300</xdr:colOff>
      <xdr:row>3426</xdr:row>
      <xdr:rowOff>51494</xdr:rowOff>
    </xdr:from>
    <xdr:ext cx="1397000" cy="643677"/>
    <xdr:pic>
      <xdr:nvPicPr>
        <xdr:cNvPr id="64" name="Imagen 63">
          <a:extLst>
            <a:ext uri="{FF2B5EF4-FFF2-40B4-BE49-F238E27FC236}">
              <a16:creationId xmlns:a16="http://schemas.microsoft.com/office/drawing/2014/main" id="{64DF4537-E89D-6944-B59A-224BF0AF5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6200" y="681254094"/>
          <a:ext cx="1397000" cy="643677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3484</xdr:row>
      <xdr:rowOff>0</xdr:rowOff>
    </xdr:from>
    <xdr:ext cx="1422400" cy="568171"/>
    <xdr:pic>
      <xdr:nvPicPr>
        <xdr:cNvPr id="65" name="Imagen 64">
          <a:extLst>
            <a:ext uri="{FF2B5EF4-FFF2-40B4-BE49-F238E27FC236}">
              <a16:creationId xmlns:a16="http://schemas.microsoft.com/office/drawing/2014/main" id="{2FC86C28-2DC6-9E4D-8A99-C335F064F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692619900"/>
          <a:ext cx="1422400" cy="568171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3484</xdr:row>
      <xdr:rowOff>0</xdr:rowOff>
    </xdr:from>
    <xdr:ext cx="1422400" cy="568171"/>
    <xdr:pic>
      <xdr:nvPicPr>
        <xdr:cNvPr id="66" name="Imagen 65">
          <a:extLst>
            <a:ext uri="{FF2B5EF4-FFF2-40B4-BE49-F238E27FC236}">
              <a16:creationId xmlns:a16="http://schemas.microsoft.com/office/drawing/2014/main" id="{90AD0EFD-6C18-4A4A-B2AB-06231AA42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692619900"/>
          <a:ext cx="1422400" cy="568171"/>
        </a:xfrm>
        <a:prstGeom prst="rect">
          <a:avLst/>
        </a:prstGeom>
      </xdr:spPr>
    </xdr:pic>
    <xdr:clientData/>
  </xdr:oneCellAnchor>
  <xdr:oneCellAnchor>
    <xdr:from>
      <xdr:col>5</xdr:col>
      <xdr:colOff>444500</xdr:colOff>
      <xdr:row>3540</xdr:row>
      <xdr:rowOff>114300</xdr:rowOff>
    </xdr:from>
    <xdr:ext cx="1422400" cy="568171"/>
    <xdr:pic>
      <xdr:nvPicPr>
        <xdr:cNvPr id="67" name="Imagen 66">
          <a:extLst>
            <a:ext uri="{FF2B5EF4-FFF2-40B4-BE49-F238E27FC236}">
              <a16:creationId xmlns:a16="http://schemas.microsoft.com/office/drawing/2014/main" id="{535D39C0-3BF8-7548-9640-E3F3219C6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5400" y="703719700"/>
          <a:ext cx="1422400" cy="568171"/>
        </a:xfrm>
        <a:prstGeom prst="rect">
          <a:avLst/>
        </a:prstGeom>
      </xdr:spPr>
    </xdr:pic>
    <xdr:clientData/>
  </xdr:oneCellAnchor>
  <xdr:oneCellAnchor>
    <xdr:from>
      <xdr:col>5</xdr:col>
      <xdr:colOff>444500</xdr:colOff>
      <xdr:row>3597</xdr:row>
      <xdr:rowOff>114300</xdr:rowOff>
    </xdr:from>
    <xdr:ext cx="1422400" cy="568171"/>
    <xdr:pic>
      <xdr:nvPicPr>
        <xdr:cNvPr id="68" name="Imagen 67">
          <a:extLst>
            <a:ext uri="{FF2B5EF4-FFF2-40B4-BE49-F238E27FC236}">
              <a16:creationId xmlns:a16="http://schemas.microsoft.com/office/drawing/2014/main" id="{CA2C130E-9E39-BD41-A319-DD9ED7707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5400" y="714921100"/>
          <a:ext cx="1422400" cy="568171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3654</xdr:row>
      <xdr:rowOff>0</xdr:rowOff>
    </xdr:from>
    <xdr:ext cx="1371600" cy="572404"/>
    <xdr:pic>
      <xdr:nvPicPr>
        <xdr:cNvPr id="69" name="Imagen 68">
          <a:extLst>
            <a:ext uri="{FF2B5EF4-FFF2-40B4-BE49-F238E27FC236}">
              <a16:creationId xmlns:a16="http://schemas.microsoft.com/office/drawing/2014/main" id="{0851C7FA-4DA5-EC47-A75C-6868B457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726173300"/>
          <a:ext cx="1371600" cy="57240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3711</xdr:row>
      <xdr:rowOff>0</xdr:rowOff>
    </xdr:from>
    <xdr:ext cx="1371600" cy="572404"/>
    <xdr:pic>
      <xdr:nvPicPr>
        <xdr:cNvPr id="70" name="Imagen 69">
          <a:extLst>
            <a:ext uri="{FF2B5EF4-FFF2-40B4-BE49-F238E27FC236}">
              <a16:creationId xmlns:a16="http://schemas.microsoft.com/office/drawing/2014/main" id="{7CC86FFA-47FD-304C-AC94-9AF331CB9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737539800"/>
          <a:ext cx="1371600" cy="57240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3769</xdr:row>
      <xdr:rowOff>0</xdr:rowOff>
    </xdr:from>
    <xdr:ext cx="1422400" cy="568171"/>
    <xdr:pic>
      <xdr:nvPicPr>
        <xdr:cNvPr id="71" name="Imagen 70">
          <a:extLst>
            <a:ext uri="{FF2B5EF4-FFF2-40B4-BE49-F238E27FC236}">
              <a16:creationId xmlns:a16="http://schemas.microsoft.com/office/drawing/2014/main" id="{B05B0354-DCD9-704F-8909-86FC4E562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749185700"/>
          <a:ext cx="1422400" cy="568171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3769</xdr:row>
      <xdr:rowOff>0</xdr:rowOff>
    </xdr:from>
    <xdr:ext cx="1422400" cy="568171"/>
    <xdr:pic>
      <xdr:nvPicPr>
        <xdr:cNvPr id="72" name="Imagen 71">
          <a:extLst>
            <a:ext uri="{FF2B5EF4-FFF2-40B4-BE49-F238E27FC236}">
              <a16:creationId xmlns:a16="http://schemas.microsoft.com/office/drawing/2014/main" id="{66759EAC-BB83-E24E-8D22-6B087596D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749185700"/>
          <a:ext cx="1422400" cy="568171"/>
        </a:xfrm>
        <a:prstGeom prst="rect">
          <a:avLst/>
        </a:prstGeom>
      </xdr:spPr>
    </xdr:pic>
    <xdr:clientData/>
  </xdr:oneCellAnchor>
  <xdr:oneCellAnchor>
    <xdr:from>
      <xdr:col>5</xdr:col>
      <xdr:colOff>152400</xdr:colOff>
      <xdr:row>3825</xdr:row>
      <xdr:rowOff>76201</xdr:rowOff>
    </xdr:from>
    <xdr:ext cx="1270000" cy="620688"/>
    <xdr:pic>
      <xdr:nvPicPr>
        <xdr:cNvPr id="73" name="Imagen 72">
          <a:extLst>
            <a:ext uri="{FF2B5EF4-FFF2-40B4-BE49-F238E27FC236}">
              <a16:creationId xmlns:a16="http://schemas.microsoft.com/office/drawing/2014/main" id="{D029765E-8D9A-7645-909E-CDBB33D75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3300" y="760361701"/>
          <a:ext cx="1270000" cy="620688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3883</xdr:row>
      <xdr:rowOff>0</xdr:rowOff>
    </xdr:from>
    <xdr:ext cx="1371600" cy="585105"/>
    <xdr:pic>
      <xdr:nvPicPr>
        <xdr:cNvPr id="74" name="Imagen 73">
          <a:extLst>
            <a:ext uri="{FF2B5EF4-FFF2-40B4-BE49-F238E27FC236}">
              <a16:creationId xmlns:a16="http://schemas.microsoft.com/office/drawing/2014/main" id="{766BEC3D-8A21-AA49-B449-44ABA1C85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771779000"/>
          <a:ext cx="1371600" cy="58510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3940</xdr:row>
      <xdr:rowOff>0</xdr:rowOff>
    </xdr:from>
    <xdr:ext cx="1371600" cy="585105"/>
    <xdr:pic>
      <xdr:nvPicPr>
        <xdr:cNvPr id="75" name="Imagen 74">
          <a:extLst>
            <a:ext uri="{FF2B5EF4-FFF2-40B4-BE49-F238E27FC236}">
              <a16:creationId xmlns:a16="http://schemas.microsoft.com/office/drawing/2014/main" id="{E3807EAD-DB2A-6F4D-A731-C7E0EDC7B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783056600"/>
          <a:ext cx="1371600" cy="58510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3997</xdr:row>
      <xdr:rowOff>0</xdr:rowOff>
    </xdr:from>
    <xdr:ext cx="1371600" cy="585105"/>
    <xdr:pic>
      <xdr:nvPicPr>
        <xdr:cNvPr id="76" name="Imagen 75">
          <a:extLst>
            <a:ext uri="{FF2B5EF4-FFF2-40B4-BE49-F238E27FC236}">
              <a16:creationId xmlns:a16="http://schemas.microsoft.com/office/drawing/2014/main" id="{22B2F56B-CFE2-2243-8722-CF4FCEE92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794334200"/>
          <a:ext cx="1371600" cy="58510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4054</xdr:row>
      <xdr:rowOff>0</xdr:rowOff>
    </xdr:from>
    <xdr:ext cx="1371600" cy="585104"/>
    <xdr:pic>
      <xdr:nvPicPr>
        <xdr:cNvPr id="77" name="Imagen 76">
          <a:extLst>
            <a:ext uri="{FF2B5EF4-FFF2-40B4-BE49-F238E27FC236}">
              <a16:creationId xmlns:a16="http://schemas.microsoft.com/office/drawing/2014/main" id="{1A72DA9E-10FE-2A44-BA48-EBF8FDBA2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805637200"/>
          <a:ext cx="1371600" cy="58510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4111</xdr:row>
      <xdr:rowOff>0</xdr:rowOff>
    </xdr:from>
    <xdr:ext cx="1371600" cy="585104"/>
    <xdr:pic>
      <xdr:nvPicPr>
        <xdr:cNvPr id="78" name="Imagen 77">
          <a:extLst>
            <a:ext uri="{FF2B5EF4-FFF2-40B4-BE49-F238E27FC236}">
              <a16:creationId xmlns:a16="http://schemas.microsoft.com/office/drawing/2014/main" id="{F9A03386-B343-BF49-A22E-89B868510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816940200"/>
          <a:ext cx="1371600" cy="58510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4168</xdr:row>
      <xdr:rowOff>0</xdr:rowOff>
    </xdr:from>
    <xdr:ext cx="1371600" cy="585104"/>
    <xdr:pic>
      <xdr:nvPicPr>
        <xdr:cNvPr id="79" name="Imagen 78">
          <a:extLst>
            <a:ext uri="{FF2B5EF4-FFF2-40B4-BE49-F238E27FC236}">
              <a16:creationId xmlns:a16="http://schemas.microsoft.com/office/drawing/2014/main" id="{64238AC3-E902-5144-B995-1015933BF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828243200"/>
          <a:ext cx="1371600" cy="58510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4225</xdr:row>
      <xdr:rowOff>0</xdr:rowOff>
    </xdr:from>
    <xdr:ext cx="1371600" cy="585104"/>
    <xdr:pic>
      <xdr:nvPicPr>
        <xdr:cNvPr id="80" name="Imagen 79">
          <a:extLst>
            <a:ext uri="{FF2B5EF4-FFF2-40B4-BE49-F238E27FC236}">
              <a16:creationId xmlns:a16="http://schemas.microsoft.com/office/drawing/2014/main" id="{DBD47A70-7786-9844-8320-A0131D78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839546200"/>
          <a:ext cx="1371600" cy="58510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4282</xdr:row>
      <xdr:rowOff>0</xdr:rowOff>
    </xdr:from>
    <xdr:ext cx="1371600" cy="585104"/>
    <xdr:pic>
      <xdr:nvPicPr>
        <xdr:cNvPr id="81" name="Imagen 80">
          <a:extLst>
            <a:ext uri="{FF2B5EF4-FFF2-40B4-BE49-F238E27FC236}">
              <a16:creationId xmlns:a16="http://schemas.microsoft.com/office/drawing/2014/main" id="{AE622093-8A1E-C34F-BA89-3F9FFE778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0" y="850976200"/>
          <a:ext cx="1371600" cy="585104"/>
        </a:xfrm>
        <a:prstGeom prst="rect">
          <a:avLst/>
        </a:prstGeom>
      </xdr:spPr>
    </xdr:pic>
    <xdr:clientData/>
  </xdr:oneCellAnchor>
  <xdr:twoCellAnchor editAs="oneCell">
    <xdr:from>
      <xdr:col>5</xdr:col>
      <xdr:colOff>457200</xdr:colOff>
      <xdr:row>4338</xdr:row>
      <xdr:rowOff>70805</xdr:rowOff>
    </xdr:from>
    <xdr:to>
      <xdr:col>5</xdr:col>
      <xdr:colOff>1689100</xdr:colOff>
      <xdr:row>4341</xdr:row>
      <xdr:rowOff>85571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03DC7134-08EF-CD48-BDE3-1D8230C08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8100" y="862438905"/>
          <a:ext cx="1231900" cy="637066"/>
        </a:xfrm>
        <a:prstGeom prst="rect">
          <a:avLst/>
        </a:prstGeom>
      </xdr:spPr>
    </xdr:pic>
    <xdr:clientData/>
  </xdr:twoCellAnchor>
  <xdr:oneCellAnchor>
    <xdr:from>
      <xdr:col>5</xdr:col>
      <xdr:colOff>457200</xdr:colOff>
      <xdr:row>4395</xdr:row>
      <xdr:rowOff>70805</xdr:rowOff>
    </xdr:from>
    <xdr:ext cx="1231900" cy="624366"/>
    <xdr:pic>
      <xdr:nvPicPr>
        <xdr:cNvPr id="83" name="Imagen 82">
          <a:extLst>
            <a:ext uri="{FF2B5EF4-FFF2-40B4-BE49-F238E27FC236}">
              <a16:creationId xmlns:a16="http://schemas.microsoft.com/office/drawing/2014/main" id="{6CEA8FC0-02AF-DB4A-AEA0-F126E5289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8100" y="873868905"/>
          <a:ext cx="1231900" cy="624366"/>
        </a:xfrm>
        <a:prstGeom prst="rect">
          <a:avLst/>
        </a:prstGeom>
      </xdr:spPr>
    </xdr:pic>
    <xdr:clientData/>
  </xdr:oneCellAnchor>
  <xdr:oneCellAnchor>
    <xdr:from>
      <xdr:col>5</xdr:col>
      <xdr:colOff>190500</xdr:colOff>
      <xdr:row>4453</xdr:row>
      <xdr:rowOff>127000</xdr:rowOff>
    </xdr:from>
    <xdr:ext cx="1422400" cy="568171"/>
    <xdr:pic>
      <xdr:nvPicPr>
        <xdr:cNvPr id="84" name="Imagen 83">
          <a:extLst>
            <a:ext uri="{FF2B5EF4-FFF2-40B4-BE49-F238E27FC236}">
              <a16:creationId xmlns:a16="http://schemas.microsoft.com/office/drawing/2014/main" id="{5C921DB7-11D9-724E-86E2-456DCA3CC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1400" y="885418600"/>
          <a:ext cx="1422400" cy="568171"/>
        </a:xfrm>
        <a:prstGeom prst="rect">
          <a:avLst/>
        </a:prstGeom>
      </xdr:spPr>
    </xdr:pic>
    <xdr:clientData/>
  </xdr:oneCellAnchor>
  <xdr:oneCellAnchor>
    <xdr:from>
      <xdr:col>5</xdr:col>
      <xdr:colOff>190500</xdr:colOff>
      <xdr:row>4522</xdr:row>
      <xdr:rowOff>127000</xdr:rowOff>
    </xdr:from>
    <xdr:ext cx="1422400" cy="568171"/>
    <xdr:pic>
      <xdr:nvPicPr>
        <xdr:cNvPr id="85" name="Imagen 84">
          <a:extLst>
            <a:ext uri="{FF2B5EF4-FFF2-40B4-BE49-F238E27FC236}">
              <a16:creationId xmlns:a16="http://schemas.microsoft.com/office/drawing/2014/main" id="{5740ABE2-E654-6C45-AE04-56A9A3565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1400" y="898944100"/>
          <a:ext cx="1422400" cy="568171"/>
        </a:xfrm>
        <a:prstGeom prst="rect">
          <a:avLst/>
        </a:prstGeom>
      </xdr:spPr>
    </xdr:pic>
    <xdr:clientData/>
  </xdr:oneCellAnchor>
  <xdr:oneCellAnchor>
    <xdr:from>
      <xdr:col>5</xdr:col>
      <xdr:colOff>190500</xdr:colOff>
      <xdr:row>4580</xdr:row>
      <xdr:rowOff>127000</xdr:rowOff>
    </xdr:from>
    <xdr:ext cx="1422400" cy="568171"/>
    <xdr:pic>
      <xdr:nvPicPr>
        <xdr:cNvPr id="86" name="Imagen 85">
          <a:extLst>
            <a:ext uri="{FF2B5EF4-FFF2-40B4-BE49-F238E27FC236}">
              <a16:creationId xmlns:a16="http://schemas.microsoft.com/office/drawing/2014/main" id="{AB5E6ED6-9CE0-214C-A40C-6829CF5D2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1400" y="910450300"/>
          <a:ext cx="1422400" cy="568171"/>
        </a:xfrm>
        <a:prstGeom prst="rect">
          <a:avLst/>
        </a:prstGeom>
      </xdr:spPr>
    </xdr:pic>
    <xdr:clientData/>
  </xdr:oneCellAnchor>
  <xdr:oneCellAnchor>
    <xdr:from>
      <xdr:col>5</xdr:col>
      <xdr:colOff>190500</xdr:colOff>
      <xdr:row>4697</xdr:row>
      <xdr:rowOff>127000</xdr:rowOff>
    </xdr:from>
    <xdr:ext cx="1422400" cy="568171"/>
    <xdr:pic>
      <xdr:nvPicPr>
        <xdr:cNvPr id="87" name="Imagen 86">
          <a:extLst>
            <a:ext uri="{FF2B5EF4-FFF2-40B4-BE49-F238E27FC236}">
              <a16:creationId xmlns:a16="http://schemas.microsoft.com/office/drawing/2014/main" id="{9411F89A-2A91-BA46-B968-A130F80F8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1400" y="933602400"/>
          <a:ext cx="1422400" cy="568171"/>
        </a:xfrm>
        <a:prstGeom prst="rect">
          <a:avLst/>
        </a:prstGeom>
      </xdr:spPr>
    </xdr:pic>
    <xdr:clientData/>
  </xdr:oneCellAnchor>
  <xdr:oneCellAnchor>
    <xdr:from>
      <xdr:col>5</xdr:col>
      <xdr:colOff>190500</xdr:colOff>
      <xdr:row>4755</xdr:row>
      <xdr:rowOff>127000</xdr:rowOff>
    </xdr:from>
    <xdr:ext cx="1422400" cy="568171"/>
    <xdr:pic>
      <xdr:nvPicPr>
        <xdr:cNvPr id="88" name="Imagen 87">
          <a:extLst>
            <a:ext uri="{FF2B5EF4-FFF2-40B4-BE49-F238E27FC236}">
              <a16:creationId xmlns:a16="http://schemas.microsoft.com/office/drawing/2014/main" id="{1BB30FA9-C516-A244-9ABF-2AB1DDBDB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1400" y="945083200"/>
          <a:ext cx="1422400" cy="568171"/>
        </a:xfrm>
        <a:prstGeom prst="rect">
          <a:avLst/>
        </a:prstGeom>
      </xdr:spPr>
    </xdr:pic>
    <xdr:clientData/>
  </xdr:oneCellAnchor>
  <xdr:oneCellAnchor>
    <xdr:from>
      <xdr:col>5</xdr:col>
      <xdr:colOff>190500</xdr:colOff>
      <xdr:row>4813</xdr:row>
      <xdr:rowOff>127000</xdr:rowOff>
    </xdr:from>
    <xdr:ext cx="1422400" cy="568171"/>
    <xdr:pic>
      <xdr:nvPicPr>
        <xdr:cNvPr id="89" name="Imagen 88">
          <a:extLst>
            <a:ext uri="{FF2B5EF4-FFF2-40B4-BE49-F238E27FC236}">
              <a16:creationId xmlns:a16="http://schemas.microsoft.com/office/drawing/2014/main" id="{E2159D60-9003-B142-9624-D2DAF4A3E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1400" y="956525900"/>
          <a:ext cx="1422400" cy="568171"/>
        </a:xfrm>
        <a:prstGeom prst="rect">
          <a:avLst/>
        </a:prstGeom>
      </xdr:spPr>
    </xdr:pic>
    <xdr:clientData/>
  </xdr:oneCellAnchor>
  <xdr:oneCellAnchor>
    <xdr:from>
      <xdr:col>5</xdr:col>
      <xdr:colOff>190500</xdr:colOff>
      <xdr:row>4871</xdr:row>
      <xdr:rowOff>127000</xdr:rowOff>
    </xdr:from>
    <xdr:ext cx="1422400" cy="568171"/>
    <xdr:pic>
      <xdr:nvPicPr>
        <xdr:cNvPr id="90" name="Imagen 89">
          <a:extLst>
            <a:ext uri="{FF2B5EF4-FFF2-40B4-BE49-F238E27FC236}">
              <a16:creationId xmlns:a16="http://schemas.microsoft.com/office/drawing/2014/main" id="{E8637E4A-DF7C-B54C-AB3B-5E22B957B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1400" y="967968600"/>
          <a:ext cx="1422400" cy="568171"/>
        </a:xfrm>
        <a:prstGeom prst="rect">
          <a:avLst/>
        </a:prstGeom>
      </xdr:spPr>
    </xdr:pic>
    <xdr:clientData/>
  </xdr:oneCellAnchor>
  <xdr:oneCellAnchor>
    <xdr:from>
      <xdr:col>5</xdr:col>
      <xdr:colOff>190500</xdr:colOff>
      <xdr:row>4929</xdr:row>
      <xdr:rowOff>127000</xdr:rowOff>
    </xdr:from>
    <xdr:ext cx="1422400" cy="568171"/>
    <xdr:pic>
      <xdr:nvPicPr>
        <xdr:cNvPr id="91" name="Imagen 90">
          <a:extLst>
            <a:ext uri="{FF2B5EF4-FFF2-40B4-BE49-F238E27FC236}">
              <a16:creationId xmlns:a16="http://schemas.microsoft.com/office/drawing/2014/main" id="{F955F439-697C-B343-B6C5-7626070EC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1400" y="979411300"/>
          <a:ext cx="1422400" cy="568171"/>
        </a:xfrm>
        <a:prstGeom prst="rect">
          <a:avLst/>
        </a:prstGeom>
      </xdr:spPr>
    </xdr:pic>
    <xdr:clientData/>
  </xdr:oneCellAnchor>
  <xdr:oneCellAnchor>
    <xdr:from>
      <xdr:col>5</xdr:col>
      <xdr:colOff>190500</xdr:colOff>
      <xdr:row>4987</xdr:row>
      <xdr:rowOff>127000</xdr:rowOff>
    </xdr:from>
    <xdr:ext cx="1422400" cy="568171"/>
    <xdr:pic>
      <xdr:nvPicPr>
        <xdr:cNvPr id="92" name="Imagen 91">
          <a:extLst>
            <a:ext uri="{FF2B5EF4-FFF2-40B4-BE49-F238E27FC236}">
              <a16:creationId xmlns:a16="http://schemas.microsoft.com/office/drawing/2014/main" id="{9E69D7B2-F084-0A46-A535-4C15DB892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1400" y="990854000"/>
          <a:ext cx="1422400" cy="568171"/>
        </a:xfrm>
        <a:prstGeom prst="rect">
          <a:avLst/>
        </a:prstGeom>
      </xdr:spPr>
    </xdr:pic>
    <xdr:clientData/>
  </xdr:oneCellAnchor>
  <xdr:oneCellAnchor>
    <xdr:from>
      <xdr:col>5</xdr:col>
      <xdr:colOff>190500</xdr:colOff>
      <xdr:row>5045</xdr:row>
      <xdr:rowOff>127000</xdr:rowOff>
    </xdr:from>
    <xdr:ext cx="1422400" cy="568171"/>
    <xdr:pic>
      <xdr:nvPicPr>
        <xdr:cNvPr id="93" name="Imagen 92">
          <a:extLst>
            <a:ext uri="{FF2B5EF4-FFF2-40B4-BE49-F238E27FC236}">
              <a16:creationId xmlns:a16="http://schemas.microsoft.com/office/drawing/2014/main" id="{9A39B79B-25AD-B941-A403-1CD429E2C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1400" y="1002296700"/>
          <a:ext cx="1422400" cy="568171"/>
        </a:xfrm>
        <a:prstGeom prst="rect">
          <a:avLst/>
        </a:prstGeom>
      </xdr:spPr>
    </xdr:pic>
    <xdr:clientData/>
  </xdr:oneCellAnchor>
  <xdr:oneCellAnchor>
    <xdr:from>
      <xdr:col>5</xdr:col>
      <xdr:colOff>190500</xdr:colOff>
      <xdr:row>5103</xdr:row>
      <xdr:rowOff>127000</xdr:rowOff>
    </xdr:from>
    <xdr:ext cx="1422400" cy="568171"/>
    <xdr:pic>
      <xdr:nvPicPr>
        <xdr:cNvPr id="94" name="Imagen 93">
          <a:extLst>
            <a:ext uri="{FF2B5EF4-FFF2-40B4-BE49-F238E27FC236}">
              <a16:creationId xmlns:a16="http://schemas.microsoft.com/office/drawing/2014/main" id="{D6F6C768-9332-2940-AF3A-64373A2C2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1400" y="1013739400"/>
          <a:ext cx="1422400" cy="56817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exo%2003%20Roma%20L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droramosmorales/Dropbox/Mi%20Mac%20(MacBook%20Pro%20de%20Pedro)/Desktop/Obras%202024/espacios%20publicos%20arauco%20rauco/Anexos/Anexo%2003%20Formato%20de%20Presupuesto-Ro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droramosmorales/Dropbox/Mi%20Mac%20(MacBook%20Pro%20de%20Pedro)/Desktop/Obras%202024/espacios%20publicos%20arauco%20rauco/Anexos/Anexo_04_APU_ROM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droramosmorales/Dropbox/Mi%20Mac%20(MacBook%20Pro%20de%20Pedro)/Desktop/OBRAS%202025/21%20MAYO/Licitaciones_20250105162644/ANEXO_PRESUPUESTO_-_ESPACIO_PUBLICO_21_DE_MAYO-RO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  <sheetName val="LGA"/>
      <sheetName val="APU "/>
    </sheetNames>
    <sheetDataSet>
      <sheetData sheetId="0"/>
      <sheetData sheetId="1">
        <row r="4">
          <cell r="C4" t="str">
            <v>MEJORAMIENTO ESPACIO PUBLICO JJVV LUCILA GODOY ALCAYAGA</v>
          </cell>
        </row>
        <row r="23">
          <cell r="A23" t="str">
            <v>2.1.1</v>
          </cell>
        </row>
        <row r="24">
          <cell r="A24" t="str">
            <v>2.1.2</v>
          </cell>
        </row>
        <row r="25">
          <cell r="A25" t="str">
            <v>2.1.3</v>
          </cell>
        </row>
        <row r="26">
          <cell r="A26" t="str">
            <v>2.1.4</v>
          </cell>
        </row>
        <row r="27">
          <cell r="A27" t="str">
            <v>2.1.5</v>
          </cell>
        </row>
        <row r="28">
          <cell r="A28" t="str">
            <v>2.1.6</v>
          </cell>
        </row>
        <row r="29">
          <cell r="A29" t="str">
            <v>2.1.7</v>
          </cell>
        </row>
        <row r="30">
          <cell r="A30" t="str">
            <v>2.1.8</v>
          </cell>
        </row>
        <row r="31">
          <cell r="A31" t="str">
            <v>2.1.9</v>
          </cell>
        </row>
        <row r="33">
          <cell r="A33" t="str">
            <v>2.2.1</v>
          </cell>
        </row>
        <row r="34">
          <cell r="A34" t="str">
            <v>2.2.2</v>
          </cell>
        </row>
        <row r="35">
          <cell r="A35" t="str">
            <v>2.2.3</v>
          </cell>
        </row>
        <row r="37">
          <cell r="A37" t="str">
            <v>2.3.1</v>
          </cell>
        </row>
        <row r="38">
          <cell r="A38" t="str">
            <v>2.3.2</v>
          </cell>
        </row>
        <row r="39">
          <cell r="A39" t="str">
            <v>2.3.3</v>
          </cell>
        </row>
        <row r="40">
          <cell r="A40" t="str">
            <v>2.3.4</v>
          </cell>
        </row>
        <row r="41">
          <cell r="A41" t="str">
            <v>2.3.5</v>
          </cell>
        </row>
        <row r="43">
          <cell r="A43" t="str">
            <v>2.4.1</v>
          </cell>
        </row>
        <row r="44">
          <cell r="A44" t="str">
            <v>2.4.2</v>
          </cell>
        </row>
        <row r="46">
          <cell r="A46" t="str">
            <v>2.5.1</v>
          </cell>
        </row>
        <row r="47">
          <cell r="A47" t="str">
            <v>2.5.2</v>
          </cell>
        </row>
        <row r="48">
          <cell r="A48" t="str">
            <v>2.5.3</v>
          </cell>
        </row>
        <row r="49">
          <cell r="A49" t="str">
            <v>2.5.4</v>
          </cell>
        </row>
        <row r="50">
          <cell r="A50" t="str">
            <v>2.5.5</v>
          </cell>
        </row>
        <row r="51">
          <cell r="A51" t="str">
            <v>2.5.6</v>
          </cell>
        </row>
        <row r="52">
          <cell r="A52" t="str">
            <v>2.5.7</v>
          </cell>
        </row>
        <row r="53">
          <cell r="A53" t="str">
            <v>2.5.8</v>
          </cell>
        </row>
        <row r="54">
          <cell r="A54" t="str">
            <v>2.5.9</v>
          </cell>
        </row>
        <row r="57">
          <cell r="A57" t="str">
            <v>3.1.1</v>
          </cell>
        </row>
        <row r="58">
          <cell r="A58" t="str">
            <v>3.1.2</v>
          </cell>
        </row>
        <row r="59">
          <cell r="A59" t="str">
            <v>3.1.3</v>
          </cell>
        </row>
        <row r="60">
          <cell r="A60" t="str">
            <v>3.1.4</v>
          </cell>
        </row>
        <row r="61">
          <cell r="A61" t="str">
            <v>3.1.5</v>
          </cell>
        </row>
        <row r="62">
          <cell r="A62" t="str">
            <v>3.1.6</v>
          </cell>
        </row>
        <row r="63">
          <cell r="A63" t="str">
            <v>3.1.7</v>
          </cell>
        </row>
        <row r="64">
          <cell r="A64" t="str">
            <v>3.1.8</v>
          </cell>
        </row>
        <row r="66">
          <cell r="A66" t="str">
            <v>3.2.1</v>
          </cell>
        </row>
        <row r="67">
          <cell r="A67" t="str">
            <v>3.2.2</v>
          </cell>
        </row>
        <row r="68">
          <cell r="A68" t="str">
            <v>3.2.3</v>
          </cell>
        </row>
        <row r="69">
          <cell r="A69" t="str">
            <v>3.2.4</v>
          </cell>
        </row>
        <row r="70">
          <cell r="A70" t="str">
            <v>3.2.5</v>
          </cell>
        </row>
        <row r="71">
          <cell r="A71" t="str">
            <v>3.2.6</v>
          </cell>
        </row>
        <row r="72">
          <cell r="A72" t="str">
            <v>3.2.7</v>
          </cell>
        </row>
        <row r="74">
          <cell r="A74" t="str">
            <v>3.3.1</v>
          </cell>
        </row>
        <row r="75">
          <cell r="A75" t="str">
            <v>3.3.2</v>
          </cell>
        </row>
        <row r="77">
          <cell r="A77" t="str">
            <v>4.1</v>
          </cell>
        </row>
        <row r="78">
          <cell r="A78" t="str">
            <v>4.2</v>
          </cell>
        </row>
        <row r="79">
          <cell r="A79" t="str">
            <v>4.3</v>
          </cell>
        </row>
        <row r="80">
          <cell r="A80" t="str">
            <v>4.4</v>
          </cell>
        </row>
        <row r="81">
          <cell r="A81" t="str">
            <v>4.5</v>
          </cell>
        </row>
        <row r="82">
          <cell r="A82" t="str">
            <v>4.6</v>
          </cell>
        </row>
        <row r="83">
          <cell r="A83" t="str">
            <v>4.7</v>
          </cell>
        </row>
        <row r="84">
          <cell r="A84" t="str">
            <v>4.8</v>
          </cell>
        </row>
        <row r="88">
          <cell r="A88" t="str">
            <v>5.3</v>
          </cell>
        </row>
        <row r="89">
          <cell r="A89" t="str">
            <v>5.4</v>
          </cell>
        </row>
        <row r="91">
          <cell r="A91" t="str">
            <v>6.1</v>
          </cell>
        </row>
        <row r="92">
          <cell r="A92" t="str">
            <v>6.2</v>
          </cell>
        </row>
        <row r="93">
          <cell r="A93" t="str">
            <v>6.3</v>
          </cell>
        </row>
        <row r="94">
          <cell r="A94" t="str">
            <v>6.4</v>
          </cell>
        </row>
        <row r="95">
          <cell r="A95" t="str">
            <v>6.5</v>
          </cell>
        </row>
        <row r="96">
          <cell r="A96" t="str">
            <v>6.6</v>
          </cell>
        </row>
        <row r="97">
          <cell r="A97" t="str">
            <v>6.7</v>
          </cell>
        </row>
        <row r="98">
          <cell r="A98" t="str">
            <v>6.8</v>
          </cell>
        </row>
        <row r="99">
          <cell r="A99" t="str">
            <v>6.9</v>
          </cell>
        </row>
        <row r="100">
          <cell r="A100" t="str">
            <v>6.10</v>
          </cell>
        </row>
        <row r="103">
          <cell r="A103" t="str">
            <v>7.1.1</v>
          </cell>
        </row>
        <row r="104">
          <cell r="A104" t="str">
            <v>7.1.2</v>
          </cell>
        </row>
        <row r="105">
          <cell r="A105" t="str">
            <v>7.1.3</v>
          </cell>
        </row>
        <row r="106">
          <cell r="A106" t="str">
            <v>7.1.4</v>
          </cell>
        </row>
        <row r="107">
          <cell r="A107" t="str">
            <v>7.1.5</v>
          </cell>
        </row>
        <row r="108">
          <cell r="A108" t="str">
            <v>7.1.6</v>
          </cell>
        </row>
        <row r="109">
          <cell r="A109" t="str">
            <v>7.1.7</v>
          </cell>
        </row>
        <row r="110">
          <cell r="A110" t="str">
            <v>7.1.8</v>
          </cell>
        </row>
        <row r="112">
          <cell r="A112" t="str">
            <v>7.2.1</v>
          </cell>
        </row>
        <row r="114">
          <cell r="A114" t="str">
            <v>8.1</v>
          </cell>
        </row>
        <row r="115">
          <cell r="A115" t="str">
            <v>8.2</v>
          </cell>
        </row>
        <row r="116">
          <cell r="A116" t="str">
            <v>8.3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UPUESTO OFICIAL  HR"/>
      <sheetName val="APU"/>
    </sheetNames>
    <sheetDataSet>
      <sheetData sheetId="0">
        <row r="13">
          <cell r="A13" t="str">
            <v>1.1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UPUESTO OFICIAL"/>
      <sheetName val="APU"/>
    </sheetNames>
    <sheetDataSet>
      <sheetData sheetId="0" refreshError="1">
        <row r="3">
          <cell r="C3" t="str">
            <v xml:space="preserve"> MEJORAMIENTO ESPACIO PÚBLICO MALLORCA VIDA 2, COMUNA DE CALAMA</v>
          </cell>
        </row>
        <row r="12">
          <cell r="C12" t="str">
            <v>Letrero Indicativo de Obra</v>
          </cell>
        </row>
        <row r="14">
          <cell r="C14" t="str">
            <v>Replanteo, trazado y nivelación</v>
          </cell>
          <cell r="D14" t="str">
            <v>m2</v>
          </cell>
        </row>
        <row r="20">
          <cell r="D20" t="str">
            <v>m3</v>
          </cell>
        </row>
        <row r="22">
          <cell r="D22" t="str">
            <v>m2</v>
          </cell>
        </row>
        <row r="25">
          <cell r="D25" t="str">
            <v>m3</v>
          </cell>
        </row>
        <row r="42">
          <cell r="D42" t="str">
            <v>m3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  <sheetName val="FINAL "/>
      <sheetName val="APU"/>
    </sheetNames>
    <sheetDataSet>
      <sheetData sheetId="0"/>
      <sheetData sheetId="1">
        <row r="14">
          <cell r="A14" t="str">
            <v>1.2</v>
          </cell>
        </row>
        <row r="16">
          <cell r="A16" t="str">
            <v>1.4</v>
          </cell>
          <cell r="B16" t="str">
            <v>Limpieza y despeje de terreno</v>
          </cell>
          <cell r="C16" t="str">
            <v>Limpieza y despeje de terreno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DCBB-1BC9-424E-BF32-DEFD0DA1C5A9}">
  <sheetPr>
    <pageSetUpPr fitToPage="1"/>
  </sheetPr>
  <dimension ref="B1:G5108"/>
  <sheetViews>
    <sheetView tabSelected="1" topLeftCell="A5074" zoomScaleNormal="100" workbookViewId="0">
      <selection activeCell="F5078" sqref="F5078"/>
    </sheetView>
  </sheetViews>
  <sheetFormatPr baseColWidth="10" defaultColWidth="11.5" defaultRowHeight="13"/>
  <cols>
    <col min="1" max="1" width="1.6640625" style="2" customWidth="1"/>
    <col min="2" max="2" width="41.33203125" style="2" customWidth="1"/>
    <col min="3" max="3" width="11.5" style="2" customWidth="1"/>
    <col min="4" max="4" width="10.6640625" style="2" customWidth="1"/>
    <col min="5" max="5" width="12.6640625" style="2" customWidth="1"/>
    <col min="6" max="6" width="46.6640625" style="3" customWidth="1"/>
    <col min="7" max="7" width="13.1640625" style="2" customWidth="1"/>
    <col min="8" max="16384" width="11.5" style="2"/>
  </cols>
  <sheetData>
    <row r="1" spans="2:7" ht="14" thickBot="1">
      <c r="B1" s="1" t="s">
        <v>0</v>
      </c>
      <c r="C1" s="1"/>
    </row>
    <row r="2" spans="2:7" ht="17" thickBot="1">
      <c r="B2" s="1" t="s">
        <v>1</v>
      </c>
      <c r="C2" s="1"/>
      <c r="E2" s="4" t="s">
        <v>2</v>
      </c>
      <c r="F2" s="5"/>
    </row>
    <row r="3" spans="2:7">
      <c r="B3" s="6"/>
    </row>
    <row r="4" spans="2:7" ht="16">
      <c r="B4" s="7" t="s">
        <v>3</v>
      </c>
      <c r="C4" s="7"/>
      <c r="D4" s="7"/>
      <c r="E4" s="7"/>
      <c r="F4" s="7"/>
    </row>
    <row r="5" spans="2:7" ht="16">
      <c r="B5" s="8"/>
      <c r="C5" s="8"/>
      <c r="D5" s="8"/>
      <c r="E5" s="8"/>
      <c r="G5" s="8"/>
    </row>
    <row r="6" spans="2:7" ht="30" customHeight="1">
      <c r="B6" s="9" t="s">
        <v>4</v>
      </c>
      <c r="C6" s="10" t="str">
        <f>[1]LGA!C4</f>
        <v>MEJORAMIENTO ESPACIO PUBLICO JJVV LUCILA GODOY ALCAYAGA</v>
      </c>
      <c r="D6" s="10"/>
      <c r="E6" s="10"/>
      <c r="F6" s="11"/>
      <c r="G6" s="8"/>
    </row>
    <row r="7" spans="2:7" ht="15" customHeight="1">
      <c r="B7" s="12"/>
      <c r="C7" s="8"/>
      <c r="D7" s="8"/>
      <c r="E7" s="8"/>
      <c r="G7" s="8"/>
    </row>
    <row r="8" spans="2:7" ht="16">
      <c r="B8" s="9" t="s">
        <v>5</v>
      </c>
      <c r="C8" s="13" t="s">
        <v>6</v>
      </c>
      <c r="D8" s="13"/>
      <c r="E8" s="13"/>
      <c r="F8" s="14"/>
      <c r="G8" s="8"/>
    </row>
    <row r="9" spans="2:7" ht="16" customHeight="1">
      <c r="B9" s="9"/>
      <c r="C9" s="13"/>
      <c r="D9" s="13"/>
      <c r="E9" s="13"/>
      <c r="F9" s="14"/>
      <c r="G9" s="8"/>
    </row>
    <row r="10" spans="2:7" ht="16">
      <c r="B10" s="9" t="s">
        <v>7</v>
      </c>
      <c r="C10" s="13" t="str">
        <f>'[2]PRESUPUESTO OFICIAL  HR'!A13</f>
        <v>1.1</v>
      </c>
      <c r="D10" s="13"/>
      <c r="E10" s="13"/>
      <c r="F10" s="14"/>
      <c r="G10" s="8"/>
    </row>
    <row r="11" spans="2:7" ht="16">
      <c r="B11" s="9" t="s">
        <v>8</v>
      </c>
      <c r="C11" s="13" t="s">
        <v>9</v>
      </c>
      <c r="D11" s="13"/>
      <c r="E11" s="13"/>
      <c r="F11" s="14"/>
      <c r="G11" s="8"/>
    </row>
    <row r="12" spans="2:7" ht="16">
      <c r="B12" s="9" t="s">
        <v>10</v>
      </c>
      <c r="C12" s="13" t="s">
        <v>11</v>
      </c>
      <c r="D12" s="13"/>
      <c r="E12" s="13"/>
      <c r="F12" s="14"/>
      <c r="G12" s="8"/>
    </row>
    <row r="13" spans="2:7" ht="16">
      <c r="B13" s="9" t="s">
        <v>12</v>
      </c>
      <c r="C13" s="15">
        <v>46024</v>
      </c>
      <c r="D13" s="13"/>
      <c r="E13" s="13"/>
      <c r="F13" s="14"/>
      <c r="G13" s="8"/>
    </row>
    <row r="14" spans="2:7" ht="17" thickBot="1">
      <c r="B14" s="8"/>
      <c r="C14" s="8"/>
      <c r="D14" s="8"/>
      <c r="E14" s="8"/>
      <c r="G14" s="8"/>
    </row>
    <row r="15" spans="2:7" ht="18" thickTop="1" thickBot="1">
      <c r="B15" s="16" t="s">
        <v>13</v>
      </c>
      <c r="C15" s="17" t="s">
        <v>14</v>
      </c>
      <c r="D15" s="17" t="s">
        <v>15</v>
      </c>
      <c r="E15" s="17" t="s">
        <v>16</v>
      </c>
      <c r="F15" s="18" t="s">
        <v>17</v>
      </c>
      <c r="G15" s="8"/>
    </row>
    <row r="16" spans="2:7" ht="17" thickTop="1">
      <c r="B16" s="19"/>
      <c r="C16" s="19"/>
      <c r="D16" s="19"/>
      <c r="E16" s="19"/>
      <c r="F16" s="19"/>
      <c r="G16" s="8"/>
    </row>
    <row r="17" spans="2:7">
      <c r="B17" s="20" t="s">
        <v>18</v>
      </c>
      <c r="C17" s="21" t="s">
        <v>11</v>
      </c>
      <c r="D17" s="21">
        <v>1</v>
      </c>
      <c r="E17" s="22">
        <v>386000</v>
      </c>
      <c r="F17" s="22">
        <f>E17*D17</f>
        <v>386000</v>
      </c>
    </row>
    <row r="18" spans="2:7" ht="16">
      <c r="B18" s="20"/>
      <c r="C18" s="21"/>
      <c r="D18" s="21"/>
      <c r="E18" s="22"/>
      <c r="F18" s="22">
        <f>E18*D18</f>
        <v>0</v>
      </c>
      <c r="G18" s="8"/>
    </row>
    <row r="19" spans="2:7" ht="16">
      <c r="B19" s="20"/>
      <c r="C19" s="21"/>
      <c r="D19" s="21"/>
      <c r="E19" s="22"/>
      <c r="F19" s="22">
        <f>E19*D19</f>
        <v>0</v>
      </c>
      <c r="G19" s="8"/>
    </row>
    <row r="20" spans="2:7" ht="16">
      <c r="B20" s="20"/>
      <c r="C20" s="21"/>
      <c r="D20" s="21"/>
      <c r="E20" s="22"/>
      <c r="F20" s="22">
        <f>E20*D20</f>
        <v>0</v>
      </c>
      <c r="G20" s="8"/>
    </row>
    <row r="21" spans="2:7" ht="20" customHeight="1">
      <c r="B21" s="20"/>
      <c r="C21" s="21"/>
      <c r="D21" s="21"/>
      <c r="E21" s="22"/>
      <c r="F21" s="22">
        <f>E21*D21</f>
        <v>0</v>
      </c>
      <c r="G21" s="8"/>
    </row>
    <row r="22" spans="2:7" ht="17" thickBot="1">
      <c r="B22" s="6" t="s">
        <v>19</v>
      </c>
      <c r="C22" s="8"/>
      <c r="D22" s="8"/>
      <c r="E22" s="8"/>
      <c r="F22" s="23">
        <f>SUM(F17:F21)</f>
        <v>386000</v>
      </c>
      <c r="G22" s="8"/>
    </row>
    <row r="23" spans="2:7" ht="13" customHeight="1" thickBot="1">
      <c r="B23" s="8"/>
      <c r="C23" s="8"/>
      <c r="D23" s="8"/>
      <c r="E23" s="8"/>
      <c r="G23" s="8"/>
    </row>
    <row r="24" spans="2:7" ht="18" thickTop="1" thickBot="1">
      <c r="B24" s="16" t="s">
        <v>20</v>
      </c>
      <c r="C24" s="17" t="s">
        <v>14</v>
      </c>
      <c r="D24" s="17" t="s">
        <v>15</v>
      </c>
      <c r="E24" s="17" t="s">
        <v>16</v>
      </c>
      <c r="F24" s="18" t="s">
        <v>17</v>
      </c>
      <c r="G24" s="8"/>
    </row>
    <row r="25" spans="2:7" ht="17" thickTop="1">
      <c r="B25" s="8"/>
      <c r="C25" s="8"/>
      <c r="D25" s="8"/>
      <c r="E25" s="8"/>
      <c r="G25" s="8"/>
    </row>
    <row r="26" spans="2:7" ht="16">
      <c r="B26" s="24" t="s">
        <v>21</v>
      </c>
      <c r="C26" s="20" t="s">
        <v>22</v>
      </c>
      <c r="D26" s="20">
        <v>0.1</v>
      </c>
      <c r="E26" s="22">
        <v>27500</v>
      </c>
      <c r="F26" s="25">
        <f>E26*D26</f>
        <v>2750</v>
      </c>
      <c r="G26" s="8"/>
    </row>
    <row r="27" spans="2:7" ht="16">
      <c r="B27" s="20" t="s">
        <v>23</v>
      </c>
      <c r="C27" s="20" t="s">
        <v>22</v>
      </c>
      <c r="D27" s="20">
        <v>0.1</v>
      </c>
      <c r="E27" s="22">
        <v>15000</v>
      </c>
      <c r="F27" s="25">
        <f>E27*D27</f>
        <v>1500</v>
      </c>
      <c r="G27" s="8"/>
    </row>
    <row r="28" spans="2:7" ht="16">
      <c r="B28" s="20" t="s">
        <v>24</v>
      </c>
      <c r="C28" s="20" t="s">
        <v>22</v>
      </c>
      <c r="D28" s="20">
        <v>0.1</v>
      </c>
      <c r="E28" s="22">
        <v>25000</v>
      </c>
      <c r="F28" s="25">
        <f>E28*D28</f>
        <v>2500</v>
      </c>
      <c r="G28" s="8"/>
    </row>
    <row r="29" spans="2:7" ht="16">
      <c r="B29" s="26"/>
      <c r="C29" s="26"/>
      <c r="D29" s="26"/>
      <c r="E29" s="26"/>
      <c r="F29" s="25">
        <f>E29*D29</f>
        <v>0</v>
      </c>
      <c r="G29" s="8"/>
    </row>
    <row r="30" spans="2:7" ht="16">
      <c r="B30" s="27" t="s">
        <v>25</v>
      </c>
      <c r="C30" s="27" t="s">
        <v>26</v>
      </c>
      <c r="D30" s="28">
        <v>0.32</v>
      </c>
      <c r="E30" s="29">
        <f>SUM(E26:E29)*D30</f>
        <v>21600</v>
      </c>
      <c r="F30" s="25">
        <f>E30*D30</f>
        <v>6912</v>
      </c>
      <c r="G30" s="8"/>
    </row>
    <row r="31" spans="2:7" ht="13" customHeight="1">
      <c r="B31" s="8"/>
      <c r="C31" s="8"/>
      <c r="D31" s="8"/>
      <c r="E31" s="8"/>
      <c r="G31" s="8"/>
    </row>
    <row r="32" spans="2:7" ht="17" thickBot="1">
      <c r="B32" s="6" t="s">
        <v>27</v>
      </c>
      <c r="C32" s="8"/>
      <c r="D32" s="8"/>
      <c r="E32" s="8"/>
      <c r="F32" s="23">
        <f>SUM(F26:F31)</f>
        <v>13662</v>
      </c>
      <c r="G32" s="8"/>
    </row>
    <row r="33" spans="2:7" ht="16" customHeight="1" thickBot="1">
      <c r="B33" s="8"/>
      <c r="C33" s="8"/>
      <c r="D33" s="8"/>
      <c r="E33" s="8"/>
      <c r="G33" s="8"/>
    </row>
    <row r="34" spans="2:7" ht="18" thickTop="1" thickBot="1">
      <c r="B34" s="16" t="s">
        <v>28</v>
      </c>
      <c r="C34" s="17" t="s">
        <v>14</v>
      </c>
      <c r="D34" s="17" t="s">
        <v>15</v>
      </c>
      <c r="E34" s="17" t="s">
        <v>16</v>
      </c>
      <c r="F34" s="18" t="s">
        <v>17</v>
      </c>
      <c r="G34" s="8"/>
    </row>
    <row r="35" spans="2:7" ht="9" customHeight="1" thickTop="1">
      <c r="B35" s="8"/>
      <c r="C35" s="8"/>
      <c r="D35" s="8"/>
      <c r="E35" s="8"/>
      <c r="G35" s="8"/>
    </row>
    <row r="36" spans="2:7" ht="16">
      <c r="B36" s="20" t="s">
        <v>29</v>
      </c>
      <c r="C36" s="20" t="s">
        <v>30</v>
      </c>
      <c r="D36" s="20">
        <v>1</v>
      </c>
      <c r="E36" s="22">
        <v>250000</v>
      </c>
      <c r="F36" s="25">
        <f>E36*D36</f>
        <v>250000</v>
      </c>
      <c r="G36" s="8"/>
    </row>
    <row r="37" spans="2:7" ht="16">
      <c r="B37" s="20" t="s">
        <v>31</v>
      </c>
      <c r="C37" s="20" t="s">
        <v>32</v>
      </c>
      <c r="D37" s="20">
        <v>1</v>
      </c>
      <c r="E37" s="22">
        <v>43088</v>
      </c>
      <c r="F37" s="25">
        <f>E37*D37</f>
        <v>43088</v>
      </c>
      <c r="G37" s="8"/>
    </row>
    <row r="38" spans="2:7" ht="16">
      <c r="B38" s="26"/>
      <c r="C38" s="26"/>
      <c r="D38" s="26"/>
      <c r="E38" s="26"/>
      <c r="F38" s="25">
        <f>E38*D38</f>
        <v>0</v>
      </c>
      <c r="G38" s="8"/>
    </row>
    <row r="39" spans="2:7" ht="16">
      <c r="B39" s="26"/>
      <c r="C39" s="26"/>
      <c r="D39" s="26"/>
      <c r="E39" s="26"/>
      <c r="F39" s="25">
        <f>E39*D39</f>
        <v>0</v>
      </c>
      <c r="G39" s="8"/>
    </row>
    <row r="40" spans="2:7" ht="16">
      <c r="B40" s="30"/>
      <c r="C40" s="26"/>
      <c r="D40" s="26"/>
      <c r="E40" s="26"/>
      <c r="F40" s="25">
        <f>E40*D40</f>
        <v>0</v>
      </c>
      <c r="G40" s="8"/>
    </row>
    <row r="41" spans="2:7" ht="14" customHeight="1">
      <c r="B41" s="8"/>
      <c r="C41" s="8"/>
      <c r="D41" s="8"/>
      <c r="E41" s="8"/>
      <c r="G41" s="8"/>
    </row>
    <row r="42" spans="2:7" ht="17" thickBot="1">
      <c r="B42" s="19" t="s">
        <v>33</v>
      </c>
      <c r="C42" s="19"/>
      <c r="D42" s="19"/>
      <c r="E42" s="19"/>
      <c r="F42" s="23">
        <f>SUM(F36:F41)</f>
        <v>293088</v>
      </c>
      <c r="G42" s="8"/>
    </row>
    <row r="43" spans="2:7" ht="16">
      <c r="B43" s="8"/>
      <c r="C43" s="8"/>
      <c r="D43" s="8"/>
      <c r="E43" s="8"/>
      <c r="G43" s="8"/>
    </row>
    <row r="44" spans="2:7" ht="11" customHeight="1" thickBot="1">
      <c r="B44" s="8"/>
      <c r="C44" s="8"/>
      <c r="D44" s="8"/>
      <c r="E44" s="8"/>
      <c r="G44" s="8"/>
    </row>
    <row r="45" spans="2:7" ht="17" thickBot="1">
      <c r="B45" s="31" t="s">
        <v>34</v>
      </c>
      <c r="C45" s="13"/>
      <c r="D45" s="13"/>
      <c r="E45" s="13"/>
      <c r="F45" s="32">
        <f>F22+F32+F42</f>
        <v>692750</v>
      </c>
      <c r="G45" s="8"/>
    </row>
    <row r="46" spans="2:7" ht="17" thickBot="1">
      <c r="B46" s="31" t="s">
        <v>35</v>
      </c>
      <c r="C46" s="13"/>
      <c r="D46" s="13"/>
      <c r="E46" s="33">
        <v>0.1</v>
      </c>
      <c r="F46" s="32">
        <f>F45*E46</f>
        <v>69275</v>
      </c>
      <c r="G46" s="8"/>
    </row>
    <row r="47" spans="2:7" ht="17" thickBot="1">
      <c r="B47" s="31" t="s">
        <v>36</v>
      </c>
      <c r="C47" s="13"/>
      <c r="D47" s="13"/>
      <c r="E47" s="33">
        <v>0.1</v>
      </c>
      <c r="F47" s="32">
        <f>F45*E47</f>
        <v>69275</v>
      </c>
      <c r="G47" s="8"/>
    </row>
    <row r="48" spans="2:7" ht="17" thickBot="1">
      <c r="B48" s="34" t="s">
        <v>37</v>
      </c>
      <c r="C48" s="35"/>
      <c r="D48" s="35"/>
      <c r="E48" s="35"/>
      <c r="F48" s="32">
        <f>SUM(F45:F47)</f>
        <v>831300</v>
      </c>
      <c r="G48" s="8"/>
    </row>
    <row r="49" spans="2:7" ht="13" customHeight="1" thickBot="1">
      <c r="B49" s="36"/>
      <c r="C49" s="8"/>
      <c r="D49" s="8"/>
      <c r="E49" s="8"/>
      <c r="G49" s="8"/>
    </row>
    <row r="50" spans="2:7" ht="13" customHeight="1" thickTop="1" thickBot="1">
      <c r="B50" s="37" t="s">
        <v>38</v>
      </c>
      <c r="C50" s="8"/>
      <c r="D50" s="8"/>
      <c r="E50" s="8"/>
      <c r="G50" s="8"/>
    </row>
    <row r="51" spans="2:7" ht="15" customHeight="1" thickTop="1" thickBot="1">
      <c r="B51" s="8"/>
      <c r="C51" s="8"/>
      <c r="D51" s="8"/>
      <c r="E51" s="8"/>
      <c r="G51" s="8"/>
    </row>
    <row r="52" spans="2:7" ht="17" thickTop="1">
      <c r="B52" s="38"/>
      <c r="C52" s="13"/>
      <c r="D52" s="13"/>
      <c r="E52" s="39"/>
      <c r="F52" s="40"/>
      <c r="G52" s="8"/>
    </row>
    <row r="53" spans="2:7" ht="16">
      <c r="B53" s="38"/>
      <c r="C53" s="13"/>
      <c r="D53" s="13"/>
      <c r="E53" s="41"/>
      <c r="F53" s="42"/>
      <c r="G53" s="8"/>
    </row>
    <row r="54" spans="2:7" ht="16">
      <c r="B54" s="38"/>
      <c r="C54" s="13"/>
      <c r="D54" s="13"/>
      <c r="E54" s="41"/>
      <c r="F54" s="42"/>
      <c r="G54" s="8"/>
    </row>
    <row r="55" spans="2:7" ht="19" customHeight="1" thickBot="1">
      <c r="B55" s="38"/>
      <c r="C55" s="13"/>
      <c r="D55" s="43"/>
      <c r="E55" s="44"/>
      <c r="F55" s="45"/>
      <c r="G55" s="8"/>
    </row>
    <row r="56" spans="2:7" ht="19" customHeight="1" thickTop="1">
      <c r="B56" s="46"/>
      <c r="C56" s="46"/>
      <c r="D56" s="46"/>
      <c r="E56" s="47"/>
      <c r="F56" s="47"/>
      <c r="G56" s="8"/>
    </row>
    <row r="57" spans="2:7" ht="16">
      <c r="B57" s="46"/>
      <c r="C57" s="46"/>
      <c r="D57" s="46"/>
      <c r="E57" s="47"/>
      <c r="F57" s="47"/>
      <c r="G57" s="8"/>
    </row>
    <row r="58" spans="2:7" ht="16">
      <c r="B58" s="46"/>
      <c r="C58" s="46"/>
      <c r="D58" s="46"/>
      <c r="E58" s="48"/>
      <c r="F58" s="48"/>
      <c r="G58" s="8"/>
    </row>
    <row r="59" spans="2:7" ht="17" thickBot="1">
      <c r="B59" s="1" t="s">
        <v>0</v>
      </c>
      <c r="C59" s="1"/>
      <c r="G59" s="8"/>
    </row>
    <row r="60" spans="2:7" ht="17" thickBot="1">
      <c r="B60" s="1" t="s">
        <v>1</v>
      </c>
      <c r="C60" s="1"/>
      <c r="E60" s="4" t="s">
        <v>2</v>
      </c>
      <c r="F60" s="5"/>
      <c r="G60" s="8"/>
    </row>
    <row r="61" spans="2:7" ht="16">
      <c r="B61" s="6"/>
      <c r="G61" s="8"/>
    </row>
    <row r="62" spans="2:7" ht="16">
      <c r="B62" s="7" t="s">
        <v>3</v>
      </c>
      <c r="C62" s="7"/>
      <c r="D62" s="7"/>
      <c r="E62" s="7"/>
      <c r="F62" s="7"/>
      <c r="G62" s="8"/>
    </row>
    <row r="63" spans="2:7" ht="16">
      <c r="B63" s="8"/>
      <c r="C63" s="8"/>
      <c r="D63" s="8"/>
      <c r="E63" s="8"/>
      <c r="G63" s="8"/>
    </row>
    <row r="64" spans="2:7" s="51" customFormat="1" ht="31" customHeight="1">
      <c r="B64" s="49" t="s">
        <v>4</v>
      </c>
      <c r="C64" s="10" t="str">
        <f>C119</f>
        <v>MEJORAMIENTO ESPACIO PUBLICO JJVV LUCILA GODOY ALCAYAGA</v>
      </c>
      <c r="D64" s="10"/>
      <c r="E64" s="10"/>
      <c r="F64" s="11"/>
      <c r="G64" s="50"/>
    </row>
    <row r="65" spans="2:7" ht="16">
      <c r="B65" s="12"/>
      <c r="C65" s="8"/>
      <c r="D65" s="8"/>
      <c r="E65" s="8"/>
      <c r="G65" s="8"/>
    </row>
    <row r="66" spans="2:7" ht="16">
      <c r="B66" s="9" t="s">
        <v>5</v>
      </c>
      <c r="C66" s="13" t="s">
        <v>6</v>
      </c>
      <c r="D66" s="13"/>
      <c r="E66" s="13"/>
      <c r="F66" s="14"/>
      <c r="G66" s="8"/>
    </row>
    <row r="67" spans="2:7" ht="16">
      <c r="B67" s="9"/>
      <c r="C67" s="13"/>
      <c r="D67" s="13"/>
      <c r="E67" s="13"/>
      <c r="F67" s="14"/>
      <c r="G67" s="8"/>
    </row>
    <row r="68" spans="2:7" ht="16">
      <c r="B68" s="9" t="s">
        <v>7</v>
      </c>
      <c r="C68" s="13" t="s">
        <v>39</v>
      </c>
      <c r="D68" s="13"/>
      <c r="E68" s="13"/>
      <c r="F68" s="14"/>
      <c r="G68" s="8"/>
    </row>
    <row r="69" spans="2:7" ht="16">
      <c r="B69" s="9" t="s">
        <v>8</v>
      </c>
      <c r="C69" s="13" t="s">
        <v>40</v>
      </c>
      <c r="D69" s="13"/>
      <c r="E69" s="13"/>
      <c r="F69" s="14"/>
      <c r="G69" s="8"/>
    </row>
    <row r="70" spans="2:7" ht="16">
      <c r="B70" s="9" t="s">
        <v>10</v>
      </c>
      <c r="C70" s="13" t="s">
        <v>41</v>
      </c>
      <c r="D70" s="13"/>
      <c r="E70" s="13"/>
      <c r="F70" s="14"/>
      <c r="G70" s="8"/>
    </row>
    <row r="71" spans="2:7" ht="16">
      <c r="B71" s="9" t="s">
        <v>12</v>
      </c>
      <c r="C71" s="15">
        <f>C126</f>
        <v>46024</v>
      </c>
      <c r="D71" s="13"/>
      <c r="E71" s="13"/>
      <c r="F71" s="14"/>
      <c r="G71" s="8"/>
    </row>
    <row r="72" spans="2:7" ht="17" thickBot="1">
      <c r="B72" s="8"/>
      <c r="C72" s="8"/>
      <c r="D72" s="8"/>
      <c r="E72" s="8"/>
      <c r="G72" s="8"/>
    </row>
    <row r="73" spans="2:7" ht="18" thickTop="1" thickBot="1">
      <c r="B73" s="16" t="s">
        <v>13</v>
      </c>
      <c r="C73" s="17" t="s">
        <v>14</v>
      </c>
      <c r="D73" s="17" t="s">
        <v>15</v>
      </c>
      <c r="E73" s="17" t="s">
        <v>16</v>
      </c>
      <c r="F73" s="18" t="s">
        <v>17</v>
      </c>
      <c r="G73" s="8"/>
    </row>
    <row r="74" spans="2:7" ht="17" thickTop="1">
      <c r="B74" s="19"/>
      <c r="C74" s="19"/>
      <c r="D74" s="19"/>
      <c r="E74" s="19"/>
      <c r="F74" s="19"/>
      <c r="G74" s="8"/>
    </row>
    <row r="75" spans="2:7" ht="16">
      <c r="B75" s="20" t="s">
        <v>42</v>
      </c>
      <c r="C75" s="21" t="s">
        <v>43</v>
      </c>
      <c r="D75" s="52">
        <v>0.38</v>
      </c>
      <c r="E75" s="53">
        <v>15800</v>
      </c>
      <c r="F75" s="22">
        <f t="shared" ref="F75:F80" si="0">D75*E75</f>
        <v>6004</v>
      </c>
      <c r="G75" s="8"/>
    </row>
    <row r="76" spans="2:7" ht="16">
      <c r="B76" s="20" t="s">
        <v>44</v>
      </c>
      <c r="C76" s="21" t="s">
        <v>43</v>
      </c>
      <c r="D76" s="52">
        <v>0.09</v>
      </c>
      <c r="E76" s="53">
        <v>3200</v>
      </c>
      <c r="F76" s="22">
        <f t="shared" si="0"/>
        <v>288</v>
      </c>
      <c r="G76" s="8"/>
    </row>
    <row r="77" spans="2:7">
      <c r="B77" s="20" t="s">
        <v>45</v>
      </c>
      <c r="C77" s="21" t="s">
        <v>43</v>
      </c>
      <c r="D77" s="52">
        <v>0.09</v>
      </c>
      <c r="E77" s="53">
        <v>65000</v>
      </c>
      <c r="F77" s="22">
        <f t="shared" si="0"/>
        <v>5850</v>
      </c>
    </row>
    <row r="78" spans="2:7">
      <c r="B78" s="20" t="s">
        <v>46</v>
      </c>
      <c r="C78" s="21" t="s">
        <v>43</v>
      </c>
      <c r="D78" s="52">
        <v>0.09</v>
      </c>
      <c r="E78" s="53">
        <v>4500</v>
      </c>
      <c r="F78" s="22">
        <f t="shared" si="0"/>
        <v>405</v>
      </c>
    </row>
    <row r="79" spans="2:7">
      <c r="B79" s="20" t="s">
        <v>47</v>
      </c>
      <c r="C79" s="21" t="s">
        <v>43</v>
      </c>
      <c r="D79" s="52">
        <v>0.3</v>
      </c>
      <c r="E79" s="53">
        <v>6900</v>
      </c>
      <c r="F79" s="22">
        <f t="shared" si="0"/>
        <v>2070</v>
      </c>
    </row>
    <row r="80" spans="2:7">
      <c r="B80" s="20" t="s">
        <v>48</v>
      </c>
      <c r="C80" s="21" t="s">
        <v>49</v>
      </c>
      <c r="D80" s="52">
        <v>0.11600000000000001</v>
      </c>
      <c r="E80" s="53">
        <v>2100</v>
      </c>
      <c r="F80" s="22">
        <f t="shared" si="0"/>
        <v>243.60000000000002</v>
      </c>
    </row>
    <row r="81" spans="2:6" ht="17" thickBot="1">
      <c r="B81" s="6" t="s">
        <v>19</v>
      </c>
      <c r="C81" s="8"/>
      <c r="D81" s="8"/>
      <c r="E81" s="8"/>
      <c r="F81" s="23">
        <f>SUM(F75:F80)</f>
        <v>14860.6</v>
      </c>
    </row>
    <row r="82" spans="2:6" ht="17" thickBot="1">
      <c r="B82" s="8"/>
      <c r="C82" s="8"/>
      <c r="D82" s="8"/>
      <c r="E82" s="8"/>
    </row>
    <row r="83" spans="2:6" ht="15" thickTop="1" thickBot="1">
      <c r="B83" s="16" t="s">
        <v>20</v>
      </c>
      <c r="C83" s="17" t="s">
        <v>14</v>
      </c>
      <c r="D83" s="17" t="s">
        <v>15</v>
      </c>
      <c r="E83" s="17" t="s">
        <v>16</v>
      </c>
      <c r="F83" s="18" t="s">
        <v>17</v>
      </c>
    </row>
    <row r="84" spans="2:6" ht="17" thickTop="1">
      <c r="B84" s="8"/>
      <c r="C84" s="8"/>
      <c r="D84" s="8"/>
      <c r="E84" s="8"/>
    </row>
    <row r="85" spans="2:6">
      <c r="B85" s="24" t="s">
        <v>21</v>
      </c>
      <c r="C85" s="20" t="s">
        <v>22</v>
      </c>
      <c r="D85" s="21">
        <v>4.1000000000000002E-2</v>
      </c>
      <c r="E85" s="22">
        <v>27500</v>
      </c>
      <c r="F85" s="25">
        <f>E85*D85</f>
        <v>1127.5</v>
      </c>
    </row>
    <row r="86" spans="2:6">
      <c r="B86" s="20" t="s">
        <v>23</v>
      </c>
      <c r="C86" s="20" t="s">
        <v>22</v>
      </c>
      <c r="D86" s="21">
        <v>4.1000000000000002E-2</v>
      </c>
      <c r="E86" s="22">
        <v>15000</v>
      </c>
      <c r="F86" s="25">
        <f>E86*D86</f>
        <v>615</v>
      </c>
    </row>
    <row r="87" spans="2:6">
      <c r="B87" s="20" t="s">
        <v>23</v>
      </c>
      <c r="C87" s="20" t="s">
        <v>22</v>
      </c>
      <c r="D87" s="21">
        <v>4.1000000000000002E-2</v>
      </c>
      <c r="E87" s="22">
        <v>15000</v>
      </c>
      <c r="F87" s="25">
        <f>E87*D87</f>
        <v>615</v>
      </c>
    </row>
    <row r="88" spans="2:6" ht="16">
      <c r="B88" s="26"/>
      <c r="C88" s="26"/>
      <c r="D88" s="26"/>
      <c r="E88" s="26"/>
      <c r="F88" s="25">
        <f>E88*D88</f>
        <v>0</v>
      </c>
    </row>
    <row r="89" spans="2:6" ht="16">
      <c r="B89" s="27" t="s">
        <v>25</v>
      </c>
      <c r="C89" s="27" t="s">
        <v>26</v>
      </c>
      <c r="D89" s="28">
        <v>0.32</v>
      </c>
      <c r="E89" s="29">
        <f>SUM(E85:E88)*D89</f>
        <v>18400</v>
      </c>
      <c r="F89" s="25">
        <f>SUM(F85:F88)*D89</f>
        <v>754.4</v>
      </c>
    </row>
    <row r="90" spans="2:6" ht="16">
      <c r="B90" s="8"/>
      <c r="C90" s="8"/>
      <c r="D90" s="8"/>
      <c r="E90" s="8"/>
    </row>
    <row r="91" spans="2:6" ht="17" thickBot="1">
      <c r="B91" s="6" t="s">
        <v>27</v>
      </c>
      <c r="C91" s="8"/>
      <c r="D91" s="8"/>
      <c r="E91" s="8"/>
      <c r="F91" s="23">
        <f>SUM(F85:F89)*D89</f>
        <v>995.80800000000011</v>
      </c>
    </row>
    <row r="92" spans="2:6" ht="17" thickBot="1">
      <c r="B92" s="8"/>
      <c r="C92" s="8"/>
      <c r="D92" s="8"/>
      <c r="E92" s="8"/>
    </row>
    <row r="93" spans="2:6" ht="15" thickTop="1" thickBot="1">
      <c r="B93" s="16" t="s">
        <v>28</v>
      </c>
      <c r="C93" s="17" t="s">
        <v>14</v>
      </c>
      <c r="D93" s="17" t="s">
        <v>15</v>
      </c>
      <c r="E93" s="17" t="s">
        <v>16</v>
      </c>
      <c r="F93" s="18" t="s">
        <v>17</v>
      </c>
    </row>
    <row r="94" spans="2:6" ht="17" thickTop="1">
      <c r="B94" s="8"/>
      <c r="C94" s="8"/>
      <c r="D94" s="8"/>
      <c r="E94" s="8"/>
    </row>
    <row r="95" spans="2:6">
      <c r="B95" s="20" t="s">
        <v>50</v>
      </c>
      <c r="C95" s="20" t="s">
        <v>43</v>
      </c>
      <c r="D95" s="20">
        <v>2.1999999999999999E-2</v>
      </c>
      <c r="E95" s="22">
        <v>54000</v>
      </c>
      <c r="F95" s="25">
        <f>E95*D95</f>
        <v>1188</v>
      </c>
    </row>
    <row r="96" spans="2:6">
      <c r="B96" s="20" t="s">
        <v>51</v>
      </c>
      <c r="C96" s="20" t="s">
        <v>43</v>
      </c>
      <c r="D96" s="20">
        <v>3.5700000000000003E-2</v>
      </c>
      <c r="E96" s="22">
        <v>24000</v>
      </c>
      <c r="F96" s="25">
        <f>E96*D96</f>
        <v>856.80000000000007</v>
      </c>
    </row>
    <row r="97" spans="2:6">
      <c r="B97" s="20" t="s">
        <v>52</v>
      </c>
      <c r="C97" s="20" t="s">
        <v>43</v>
      </c>
      <c r="D97" s="20">
        <v>1.15E-2</v>
      </c>
      <c r="E97" s="22">
        <v>86000</v>
      </c>
      <c r="F97" s="25">
        <f>E97*D97</f>
        <v>989</v>
      </c>
    </row>
    <row r="98" spans="2:6" ht="16">
      <c r="B98" s="8"/>
      <c r="C98" s="8"/>
      <c r="D98" s="8"/>
      <c r="E98" s="8"/>
    </row>
    <row r="99" spans="2:6" ht="14" thickBot="1">
      <c r="B99" s="19" t="s">
        <v>33</v>
      </c>
      <c r="C99" s="19"/>
      <c r="D99" s="19"/>
      <c r="E99" s="19"/>
      <c r="F99" s="23">
        <f>SUM(F95:F98)</f>
        <v>3033.8</v>
      </c>
    </row>
    <row r="100" spans="2:6" ht="16">
      <c r="B100" s="8"/>
      <c r="C100" s="8"/>
      <c r="D100" s="8"/>
      <c r="E100" s="8"/>
    </row>
    <row r="101" spans="2:6" ht="17" thickBot="1">
      <c r="B101" s="8"/>
      <c r="C101" s="8"/>
      <c r="D101" s="8"/>
      <c r="E101" s="8"/>
    </row>
    <row r="102" spans="2:6" ht="17" thickBot="1">
      <c r="B102" s="31" t="s">
        <v>34</v>
      </c>
      <c r="C102" s="13"/>
      <c r="D102" s="13"/>
      <c r="E102" s="13"/>
      <c r="F102" s="32">
        <f>F81+F91+F99</f>
        <v>18890.208000000002</v>
      </c>
    </row>
    <row r="103" spans="2:6" ht="17" thickBot="1">
      <c r="B103" s="31" t="s">
        <v>35</v>
      </c>
      <c r="C103" s="13"/>
      <c r="D103" s="13"/>
      <c r="E103" s="33">
        <v>0.1</v>
      </c>
      <c r="F103" s="32">
        <f>F102*E103</f>
        <v>1889.0208000000002</v>
      </c>
    </row>
    <row r="104" spans="2:6" ht="17" thickBot="1">
      <c r="B104" s="31" t="s">
        <v>36</v>
      </c>
      <c r="C104" s="13"/>
      <c r="D104" s="13"/>
      <c r="E104" s="33">
        <v>0.1</v>
      </c>
      <c r="F104" s="32">
        <f>F102*E104</f>
        <v>1889.0208000000002</v>
      </c>
    </row>
    <row r="105" spans="2:6" ht="17" thickBot="1">
      <c r="B105" s="34" t="s">
        <v>37</v>
      </c>
      <c r="C105" s="35"/>
      <c r="D105" s="35"/>
      <c r="E105" s="35"/>
      <c r="F105" s="32">
        <f>SUM(F102:F104)</f>
        <v>22668.249600000003</v>
      </c>
    </row>
    <row r="106" spans="2:6" ht="17" thickBot="1">
      <c r="B106" s="36"/>
      <c r="C106" s="8"/>
      <c r="D106" s="8"/>
      <c r="E106" s="8"/>
    </row>
    <row r="107" spans="2:6" ht="18" thickTop="1" thickBot="1">
      <c r="B107" s="37" t="s">
        <v>38</v>
      </c>
      <c r="C107" s="8"/>
      <c r="D107" s="8"/>
      <c r="E107" s="8"/>
    </row>
    <row r="108" spans="2:6" ht="18" thickTop="1" thickBot="1">
      <c r="B108" s="8"/>
      <c r="C108" s="8"/>
      <c r="D108" s="8"/>
      <c r="E108" s="8"/>
    </row>
    <row r="109" spans="2:6" ht="17" thickTop="1">
      <c r="B109" s="38"/>
      <c r="C109" s="13"/>
      <c r="D109" s="13"/>
      <c r="E109" s="39"/>
      <c r="F109" s="40"/>
    </row>
    <row r="110" spans="2:6" ht="16">
      <c r="B110" s="38"/>
      <c r="C110" s="13"/>
      <c r="D110" s="13"/>
      <c r="E110" s="41"/>
      <c r="F110" s="42"/>
    </row>
    <row r="111" spans="2:6" ht="16">
      <c r="B111" s="38"/>
      <c r="C111" s="13"/>
      <c r="D111" s="13"/>
      <c r="E111" s="41"/>
      <c r="F111" s="42"/>
    </row>
    <row r="112" spans="2:6" ht="17" thickBot="1">
      <c r="B112" s="54"/>
      <c r="C112" s="35"/>
      <c r="D112" s="35"/>
      <c r="E112" s="44"/>
      <c r="F112" s="45"/>
    </row>
    <row r="113" spans="2:7" ht="17" thickTop="1">
      <c r="B113" s="46"/>
      <c r="C113" s="46"/>
      <c r="D113" s="46"/>
      <c r="E113" s="47"/>
      <c r="F113" s="47"/>
    </row>
    <row r="114" spans="2:7" ht="14" thickBot="1">
      <c r="B114" s="1" t="s">
        <v>0</v>
      </c>
      <c r="C114" s="1"/>
    </row>
    <row r="115" spans="2:7" ht="17" thickBot="1">
      <c r="B115" s="1" t="s">
        <v>1</v>
      </c>
      <c r="C115" s="1"/>
      <c r="E115" s="4" t="s">
        <v>2</v>
      </c>
      <c r="F115" s="5"/>
    </row>
    <row r="116" spans="2:7">
      <c r="B116" s="6"/>
    </row>
    <row r="117" spans="2:7" ht="16">
      <c r="B117" s="7" t="s">
        <v>3</v>
      </c>
      <c r="C117" s="7"/>
      <c r="D117" s="7"/>
      <c r="E117" s="7"/>
      <c r="F117" s="7"/>
    </row>
    <row r="118" spans="2:7" ht="16">
      <c r="B118" s="8"/>
      <c r="C118" s="8"/>
      <c r="D118" s="8"/>
      <c r="E118" s="8"/>
      <c r="G118" s="8"/>
    </row>
    <row r="119" spans="2:7" ht="21" customHeight="1">
      <c r="B119" s="9" t="s">
        <v>4</v>
      </c>
      <c r="C119" s="10" t="str">
        <f>C6</f>
        <v>MEJORAMIENTO ESPACIO PUBLICO JJVV LUCILA GODOY ALCAYAGA</v>
      </c>
      <c r="D119" s="10"/>
      <c r="E119" s="10"/>
      <c r="F119" s="11"/>
      <c r="G119" s="8"/>
    </row>
    <row r="120" spans="2:7" ht="8.25" customHeight="1">
      <c r="B120" s="12"/>
      <c r="C120" s="8"/>
      <c r="D120" s="8"/>
      <c r="E120" s="8"/>
      <c r="G120" s="8"/>
    </row>
    <row r="121" spans="2:7" ht="16">
      <c r="B121" s="9" t="s">
        <v>5</v>
      </c>
      <c r="C121" s="13" t="s">
        <v>6</v>
      </c>
      <c r="D121" s="13"/>
      <c r="E121" s="13"/>
      <c r="F121" s="14"/>
      <c r="G121" s="8"/>
    </row>
    <row r="122" spans="2:7" ht="9.75" customHeight="1">
      <c r="B122" s="9"/>
      <c r="C122" s="13"/>
      <c r="D122" s="13"/>
      <c r="E122" s="13"/>
      <c r="F122" s="14"/>
      <c r="G122" s="8"/>
    </row>
    <row r="123" spans="2:7" ht="16">
      <c r="B123" s="9" t="s">
        <v>7</v>
      </c>
      <c r="C123" s="13" t="s">
        <v>53</v>
      </c>
      <c r="D123" s="13"/>
      <c r="E123" s="13"/>
      <c r="F123" s="14"/>
      <c r="G123" s="8"/>
    </row>
    <row r="124" spans="2:7" ht="16">
      <c r="B124" s="9" t="s">
        <v>8</v>
      </c>
      <c r="C124" s="13" t="str">
        <f>'[3]PRESUPUESTO OFICIAL'!C12</f>
        <v>Letrero Indicativo de Obra</v>
      </c>
      <c r="D124" s="13"/>
      <c r="E124" s="13"/>
      <c r="F124" s="14"/>
      <c r="G124" s="8"/>
    </row>
    <row r="125" spans="2:7" ht="16">
      <c r="B125" s="9" t="s">
        <v>10</v>
      </c>
      <c r="C125" s="13" t="s">
        <v>54</v>
      </c>
      <c r="D125" s="13"/>
      <c r="E125" s="13"/>
      <c r="F125" s="14"/>
      <c r="G125" s="8"/>
    </row>
    <row r="126" spans="2:7" ht="16">
      <c r="B126" s="9" t="s">
        <v>12</v>
      </c>
      <c r="C126" s="15">
        <f>C13</f>
        <v>46024</v>
      </c>
      <c r="D126" s="13"/>
      <c r="E126" s="13"/>
      <c r="F126" s="14"/>
      <c r="G126" s="8"/>
    </row>
    <row r="127" spans="2:7" ht="17" thickBot="1">
      <c r="B127" s="8"/>
      <c r="C127" s="8"/>
      <c r="D127" s="8"/>
      <c r="E127" s="8"/>
      <c r="G127" s="8"/>
    </row>
    <row r="128" spans="2:7" ht="18" thickTop="1" thickBot="1">
      <c r="B128" s="16" t="s">
        <v>13</v>
      </c>
      <c r="C128" s="17" t="s">
        <v>14</v>
      </c>
      <c r="D128" s="17" t="s">
        <v>15</v>
      </c>
      <c r="E128" s="17" t="s">
        <v>16</v>
      </c>
      <c r="F128" s="18" t="s">
        <v>17</v>
      </c>
      <c r="G128" s="8"/>
    </row>
    <row r="129" spans="2:7" ht="17" thickTop="1">
      <c r="B129" s="19"/>
      <c r="C129" s="19"/>
      <c r="D129" s="19"/>
      <c r="E129" s="19"/>
      <c r="F129" s="19"/>
      <c r="G129" s="8"/>
    </row>
    <row r="130" spans="2:7">
      <c r="B130" s="20" t="s">
        <v>55</v>
      </c>
      <c r="C130" s="21" t="s">
        <v>56</v>
      </c>
      <c r="D130" s="21">
        <v>3</v>
      </c>
      <c r="E130" s="22">
        <v>26000</v>
      </c>
      <c r="F130" s="22">
        <f t="shared" ref="F130:F135" si="1">E130*D130</f>
        <v>78000</v>
      </c>
    </row>
    <row r="131" spans="2:7" ht="16">
      <c r="B131" s="20" t="s">
        <v>57</v>
      </c>
      <c r="C131" s="21" t="s">
        <v>56</v>
      </c>
      <c r="D131" s="21">
        <v>7</v>
      </c>
      <c r="E131" s="22">
        <v>2200</v>
      </c>
      <c r="F131" s="22">
        <f t="shared" si="1"/>
        <v>15400</v>
      </c>
      <c r="G131" s="8"/>
    </row>
    <row r="132" spans="2:7" ht="16">
      <c r="B132" s="20" t="s">
        <v>58</v>
      </c>
      <c r="C132" s="21" t="s">
        <v>56</v>
      </c>
      <c r="D132" s="21">
        <v>4</v>
      </c>
      <c r="E132" s="22">
        <v>14000</v>
      </c>
      <c r="F132" s="22">
        <f t="shared" si="1"/>
        <v>56000</v>
      </c>
      <c r="G132" s="8"/>
    </row>
    <row r="133" spans="2:7" ht="16">
      <c r="B133" s="20" t="s">
        <v>59</v>
      </c>
      <c r="C133" s="21" t="s">
        <v>49</v>
      </c>
      <c r="D133" s="21">
        <v>2</v>
      </c>
      <c r="E133" s="22">
        <v>3200</v>
      </c>
      <c r="F133" s="22">
        <f t="shared" si="1"/>
        <v>6400</v>
      </c>
      <c r="G133" s="8"/>
    </row>
    <row r="134" spans="2:7" ht="16">
      <c r="B134" s="20" t="s">
        <v>60</v>
      </c>
      <c r="C134" s="21" t="s">
        <v>49</v>
      </c>
      <c r="D134" s="21">
        <v>2</v>
      </c>
      <c r="E134" s="22">
        <v>5000</v>
      </c>
      <c r="F134" s="22">
        <f t="shared" si="1"/>
        <v>10000</v>
      </c>
      <c r="G134" s="8"/>
    </row>
    <row r="135" spans="2:7" ht="20" customHeight="1">
      <c r="B135" s="20" t="s">
        <v>61</v>
      </c>
      <c r="C135" s="21" t="s">
        <v>56</v>
      </c>
      <c r="D135" s="21">
        <v>1</v>
      </c>
      <c r="E135" s="22">
        <v>260000</v>
      </c>
      <c r="F135" s="22">
        <f t="shared" si="1"/>
        <v>260000</v>
      </c>
      <c r="G135" s="8"/>
    </row>
    <row r="136" spans="2:7" ht="17" thickBot="1">
      <c r="B136" s="6" t="s">
        <v>19</v>
      </c>
      <c r="C136" s="8"/>
      <c r="D136" s="8"/>
      <c r="E136" s="8"/>
      <c r="F136" s="23">
        <f>SUM(F130:F135)</f>
        <v>425800</v>
      </c>
      <c r="G136" s="8"/>
    </row>
    <row r="137" spans="2:7" ht="8.25" customHeight="1" thickBot="1">
      <c r="B137" s="8"/>
      <c r="C137" s="8"/>
      <c r="D137" s="8"/>
      <c r="E137" s="8"/>
      <c r="G137" s="8"/>
    </row>
    <row r="138" spans="2:7" ht="18" thickTop="1" thickBot="1">
      <c r="B138" s="16" t="s">
        <v>20</v>
      </c>
      <c r="C138" s="17" t="s">
        <v>14</v>
      </c>
      <c r="D138" s="17" t="s">
        <v>15</v>
      </c>
      <c r="E138" s="17" t="s">
        <v>16</v>
      </c>
      <c r="F138" s="18" t="s">
        <v>17</v>
      </c>
      <c r="G138" s="8"/>
    </row>
    <row r="139" spans="2:7" ht="17" thickTop="1">
      <c r="B139" s="8"/>
      <c r="C139" s="8"/>
      <c r="D139" s="8"/>
      <c r="E139" s="8"/>
      <c r="G139" s="8"/>
    </row>
    <row r="140" spans="2:7" ht="16">
      <c r="B140" s="24" t="s">
        <v>21</v>
      </c>
      <c r="C140" s="20" t="s">
        <v>22</v>
      </c>
      <c r="D140" s="20">
        <v>4</v>
      </c>
      <c r="E140" s="22">
        <v>27500</v>
      </c>
      <c r="F140" s="25">
        <f>E140*D140</f>
        <v>110000</v>
      </c>
      <c r="G140" s="8"/>
    </row>
    <row r="141" spans="2:7" ht="16">
      <c r="B141" s="20" t="s">
        <v>23</v>
      </c>
      <c r="C141" s="20" t="s">
        <v>22</v>
      </c>
      <c r="D141" s="20">
        <v>4</v>
      </c>
      <c r="E141" s="22">
        <v>15000</v>
      </c>
      <c r="F141" s="25">
        <f>E141*D141</f>
        <v>60000</v>
      </c>
      <c r="G141" s="8"/>
    </row>
    <row r="142" spans="2:7" ht="16">
      <c r="B142" s="26"/>
      <c r="C142" s="26"/>
      <c r="D142" s="26"/>
      <c r="E142" s="26"/>
      <c r="F142" s="25">
        <f>E142*D142</f>
        <v>0</v>
      </c>
      <c r="G142" s="8"/>
    </row>
    <row r="143" spans="2:7" ht="16">
      <c r="B143" s="26"/>
      <c r="C143" s="26"/>
      <c r="D143" s="26"/>
      <c r="E143" s="26"/>
      <c r="F143" s="25">
        <f>E143*D143</f>
        <v>0</v>
      </c>
      <c r="G143" s="8"/>
    </row>
    <row r="144" spans="2:7" ht="16">
      <c r="B144" s="27" t="s">
        <v>25</v>
      </c>
      <c r="C144" s="27" t="s">
        <v>26</v>
      </c>
      <c r="D144" s="28">
        <v>0.32</v>
      </c>
      <c r="E144" s="29">
        <f>SUM(E140:E143)*D144</f>
        <v>13600</v>
      </c>
      <c r="F144" s="25">
        <f>E144*D144</f>
        <v>4352</v>
      </c>
      <c r="G144" s="8"/>
    </row>
    <row r="145" spans="2:7" ht="9" customHeight="1">
      <c r="B145" s="8"/>
      <c r="C145" s="8"/>
      <c r="D145" s="8"/>
      <c r="E145" s="8"/>
      <c r="G145" s="8"/>
    </row>
    <row r="146" spans="2:7" ht="17" thickBot="1">
      <c r="B146" s="6" t="s">
        <v>27</v>
      </c>
      <c r="C146" s="8"/>
      <c r="D146" s="8"/>
      <c r="E146" s="8"/>
      <c r="F146" s="23">
        <f>SUM(F140:F145)</f>
        <v>174352</v>
      </c>
      <c r="G146" s="8"/>
    </row>
    <row r="147" spans="2:7" ht="8.25" customHeight="1" thickBot="1">
      <c r="B147" s="8"/>
      <c r="C147" s="8"/>
      <c r="D147" s="8"/>
      <c r="E147" s="8"/>
      <c r="G147" s="8"/>
    </row>
    <row r="148" spans="2:7" ht="18" thickTop="1" thickBot="1">
      <c r="B148" s="16" t="s">
        <v>28</v>
      </c>
      <c r="C148" s="17" t="s">
        <v>14</v>
      </c>
      <c r="D148" s="17" t="s">
        <v>15</v>
      </c>
      <c r="E148" s="17" t="s">
        <v>16</v>
      </c>
      <c r="F148" s="18" t="s">
        <v>17</v>
      </c>
      <c r="G148" s="8"/>
    </row>
    <row r="149" spans="2:7" ht="9" customHeight="1" thickTop="1">
      <c r="B149" s="8"/>
      <c r="C149" s="8"/>
      <c r="D149" s="8"/>
      <c r="E149" s="8"/>
      <c r="G149" s="8"/>
    </row>
    <row r="150" spans="2:7" ht="16">
      <c r="B150" s="20" t="s">
        <v>62</v>
      </c>
      <c r="C150" s="20" t="s">
        <v>56</v>
      </c>
      <c r="D150" s="20">
        <v>2</v>
      </c>
      <c r="E150" s="22">
        <v>15000</v>
      </c>
      <c r="F150" s="25">
        <f>E150*D150</f>
        <v>30000</v>
      </c>
      <c r="G150" s="8"/>
    </row>
    <row r="151" spans="2:7" ht="16">
      <c r="B151" s="20" t="s">
        <v>31</v>
      </c>
      <c r="C151" s="20" t="s">
        <v>32</v>
      </c>
      <c r="D151" s="55">
        <v>1</v>
      </c>
      <c r="E151" s="22">
        <v>25000</v>
      </c>
      <c r="F151" s="25">
        <f>E151*D151</f>
        <v>25000</v>
      </c>
      <c r="G151" s="8"/>
    </row>
    <row r="152" spans="2:7" ht="16">
      <c r="B152" s="26"/>
      <c r="C152" s="26"/>
      <c r="D152" s="26"/>
      <c r="E152" s="26"/>
      <c r="F152" s="25">
        <f>E152*D152</f>
        <v>0</v>
      </c>
      <c r="G152" s="8"/>
    </row>
    <row r="153" spans="2:7" ht="16">
      <c r="B153" s="26"/>
      <c r="C153" s="26"/>
      <c r="D153" s="26"/>
      <c r="E153" s="26"/>
      <c r="F153" s="25">
        <f>E153*D153</f>
        <v>0</v>
      </c>
      <c r="G153" s="8"/>
    </row>
    <row r="154" spans="2:7" ht="16">
      <c r="B154" s="30"/>
      <c r="C154" s="26"/>
      <c r="D154" s="26"/>
      <c r="E154" s="26"/>
      <c r="F154" s="25">
        <f>E154*D154</f>
        <v>0</v>
      </c>
      <c r="G154" s="8"/>
    </row>
    <row r="155" spans="2:7" ht="7.5" customHeight="1">
      <c r="B155" s="8"/>
      <c r="C155" s="8"/>
      <c r="D155" s="8"/>
      <c r="E155" s="8"/>
      <c r="G155" s="8"/>
    </row>
    <row r="156" spans="2:7" ht="17" thickBot="1">
      <c r="B156" s="19" t="s">
        <v>33</v>
      </c>
      <c r="C156" s="19"/>
      <c r="D156" s="19"/>
      <c r="E156" s="19"/>
      <c r="F156" s="23">
        <f>SUM(F150:F155)</f>
        <v>55000</v>
      </c>
      <c r="G156" s="8"/>
    </row>
    <row r="157" spans="2:7" ht="16">
      <c r="B157" s="8"/>
      <c r="C157" s="8"/>
      <c r="D157" s="8"/>
      <c r="E157" s="8"/>
      <c r="G157" s="8"/>
    </row>
    <row r="158" spans="2:7" ht="7.5" customHeight="1" thickBot="1">
      <c r="B158" s="8"/>
      <c r="C158" s="8"/>
      <c r="D158" s="8"/>
      <c r="E158" s="8"/>
      <c r="G158" s="8"/>
    </row>
    <row r="159" spans="2:7" ht="17" thickBot="1">
      <c r="B159" s="31" t="s">
        <v>34</v>
      </c>
      <c r="C159" s="13"/>
      <c r="D159" s="13"/>
      <c r="E159" s="13"/>
      <c r="F159" s="32">
        <f>F136+F146+F156</f>
        <v>655152</v>
      </c>
      <c r="G159" s="8"/>
    </row>
    <row r="160" spans="2:7" ht="17" thickBot="1">
      <c r="B160" s="31" t="s">
        <v>35</v>
      </c>
      <c r="C160" s="13"/>
      <c r="D160" s="13"/>
      <c r="E160" s="33">
        <f>E273</f>
        <v>0.1</v>
      </c>
      <c r="F160" s="32">
        <f>F159*E160</f>
        <v>65515.200000000004</v>
      </c>
      <c r="G160" s="8"/>
    </row>
    <row r="161" spans="2:7" ht="17" thickBot="1">
      <c r="B161" s="31" t="s">
        <v>36</v>
      </c>
      <c r="C161" s="13"/>
      <c r="D161" s="13"/>
      <c r="E161" s="33">
        <f>E274</f>
        <v>0.1</v>
      </c>
      <c r="F161" s="32">
        <f>F159*E161</f>
        <v>65515.200000000004</v>
      </c>
      <c r="G161" s="8"/>
    </row>
    <row r="162" spans="2:7" ht="17" thickBot="1">
      <c r="B162" s="34" t="s">
        <v>37</v>
      </c>
      <c r="C162" s="35"/>
      <c r="D162" s="35"/>
      <c r="E162" s="35"/>
      <c r="F162" s="32">
        <f>SUM(F159:F161)</f>
        <v>786182.39999999991</v>
      </c>
      <c r="G162" s="8"/>
    </row>
    <row r="163" spans="2:7" ht="6" customHeight="1" thickBot="1">
      <c r="B163" s="36"/>
      <c r="C163" s="8"/>
      <c r="D163" s="8"/>
      <c r="E163" s="8"/>
      <c r="G163" s="8"/>
    </row>
    <row r="164" spans="2:7" ht="18" thickTop="1" thickBot="1">
      <c r="B164" s="37" t="s">
        <v>38</v>
      </c>
      <c r="C164" s="8"/>
      <c r="D164" s="8"/>
      <c r="E164" s="8"/>
      <c r="G164" s="8"/>
    </row>
    <row r="165" spans="2:7" ht="8.25" customHeight="1" thickTop="1" thickBot="1">
      <c r="B165" s="8"/>
      <c r="C165" s="8"/>
      <c r="D165" s="8"/>
      <c r="E165" s="8"/>
      <c r="G165" s="8"/>
    </row>
    <row r="166" spans="2:7" ht="17" thickTop="1">
      <c r="B166" s="38"/>
      <c r="C166" s="13"/>
      <c r="D166" s="13"/>
      <c r="E166" s="39"/>
      <c r="F166" s="40"/>
      <c r="G166" s="8"/>
    </row>
    <row r="167" spans="2:7" ht="16">
      <c r="B167" s="38"/>
      <c r="C167" s="13"/>
      <c r="D167" s="13"/>
      <c r="E167" s="41"/>
      <c r="F167" s="42"/>
      <c r="G167" s="8"/>
    </row>
    <row r="168" spans="2:7" ht="16">
      <c r="B168" s="38"/>
      <c r="C168" s="13"/>
      <c r="D168" s="13"/>
      <c r="E168" s="41"/>
      <c r="F168" s="42"/>
      <c r="G168" s="8"/>
    </row>
    <row r="169" spans="2:7" ht="17" thickBot="1">
      <c r="B169" s="54"/>
      <c r="C169" s="35"/>
      <c r="D169" s="35"/>
      <c r="E169" s="44"/>
      <c r="F169" s="45"/>
      <c r="G169" s="8"/>
    </row>
    <row r="170" spans="2:7" ht="17" thickTop="1">
      <c r="B170" s="46"/>
      <c r="C170" s="46"/>
      <c r="D170" s="46"/>
      <c r="E170" s="47"/>
      <c r="F170" s="47"/>
    </row>
    <row r="171" spans="2:7" ht="14" thickBot="1">
      <c r="B171" s="1" t="s">
        <v>0</v>
      </c>
      <c r="C171" s="1"/>
    </row>
    <row r="172" spans="2:7" ht="17" thickBot="1">
      <c r="B172" s="1" t="s">
        <v>1</v>
      </c>
      <c r="C172" s="1"/>
      <c r="E172" s="4" t="s">
        <v>2</v>
      </c>
      <c r="F172" s="5"/>
    </row>
    <row r="173" spans="2:7">
      <c r="B173" s="6"/>
    </row>
    <row r="174" spans="2:7" ht="16">
      <c r="B174" s="7" t="s">
        <v>3</v>
      </c>
      <c r="C174" s="7"/>
      <c r="D174" s="7"/>
      <c r="E174" s="7"/>
      <c r="F174" s="7"/>
    </row>
    <row r="175" spans="2:7" ht="16">
      <c r="B175" s="8"/>
      <c r="C175" s="8"/>
      <c r="D175" s="8"/>
      <c r="E175" s="8"/>
    </row>
    <row r="176" spans="2:7" ht="23" customHeight="1">
      <c r="B176" s="9" t="s">
        <v>4</v>
      </c>
      <c r="C176" s="10" t="str">
        <f>C119</f>
        <v>MEJORAMIENTO ESPACIO PUBLICO JJVV LUCILA GODOY ALCAYAGA</v>
      </c>
      <c r="D176" s="10"/>
      <c r="E176" s="10"/>
      <c r="F176" s="11"/>
    </row>
    <row r="177" spans="2:6" ht="16">
      <c r="B177" s="12"/>
      <c r="C177" s="8"/>
      <c r="D177" s="8"/>
      <c r="E177" s="8"/>
    </row>
    <row r="178" spans="2:6" ht="16">
      <c r="B178" s="9" t="s">
        <v>5</v>
      </c>
      <c r="C178" s="13" t="s">
        <v>6</v>
      </c>
      <c r="D178" s="13"/>
      <c r="E178" s="13"/>
      <c r="F178" s="14"/>
    </row>
    <row r="179" spans="2:6" ht="16">
      <c r="B179" s="9"/>
      <c r="C179" s="13"/>
      <c r="D179" s="13"/>
      <c r="E179" s="13"/>
      <c r="F179" s="14"/>
    </row>
    <row r="180" spans="2:6" ht="16">
      <c r="B180" s="9" t="s">
        <v>7</v>
      </c>
      <c r="C180" s="13" t="str">
        <f>'[4]FINAL '!A16</f>
        <v>1.4</v>
      </c>
      <c r="D180" s="13"/>
      <c r="E180" s="13"/>
      <c r="F180" s="14"/>
    </row>
    <row r="181" spans="2:6" ht="16">
      <c r="B181" s="9" t="s">
        <v>8</v>
      </c>
      <c r="C181" s="13" t="str">
        <f>'[4]FINAL '!B16:C16</f>
        <v>Limpieza y despeje de terreno</v>
      </c>
      <c r="D181" s="13"/>
      <c r="E181" s="13"/>
      <c r="F181" s="14"/>
    </row>
    <row r="182" spans="2:6" ht="16">
      <c r="B182" s="9" t="s">
        <v>10</v>
      </c>
      <c r="C182" s="13" t="s">
        <v>54</v>
      </c>
      <c r="D182" s="13"/>
      <c r="E182" s="13"/>
      <c r="F182" s="14"/>
    </row>
    <row r="183" spans="2:6" ht="16">
      <c r="B183" s="9" t="s">
        <v>12</v>
      </c>
      <c r="C183" s="15">
        <f>C126</f>
        <v>46024</v>
      </c>
      <c r="D183" s="13"/>
      <c r="E183" s="13"/>
      <c r="F183" s="14"/>
    </row>
    <row r="184" spans="2:6" ht="17" thickBot="1">
      <c r="B184" s="8"/>
      <c r="C184" s="8"/>
      <c r="D184" s="8"/>
      <c r="E184" s="8"/>
    </row>
    <row r="185" spans="2:6" ht="15" thickTop="1" thickBot="1">
      <c r="B185" s="16" t="s">
        <v>13</v>
      </c>
      <c r="C185" s="17" t="s">
        <v>14</v>
      </c>
      <c r="D185" s="17" t="s">
        <v>15</v>
      </c>
      <c r="E185" s="17" t="s">
        <v>16</v>
      </c>
      <c r="F185" s="18" t="s">
        <v>17</v>
      </c>
    </row>
    <row r="186" spans="2:6" ht="14" thickTop="1">
      <c r="B186" s="19"/>
      <c r="C186" s="19"/>
      <c r="D186" s="19"/>
      <c r="E186" s="19"/>
      <c r="F186" s="19"/>
    </row>
    <row r="187" spans="2:6">
      <c r="B187" s="20"/>
      <c r="C187" s="21"/>
      <c r="D187" s="21"/>
      <c r="E187" s="22"/>
      <c r="F187" s="22">
        <f>E187*D187</f>
        <v>0</v>
      </c>
    </row>
    <row r="188" spans="2:6">
      <c r="B188" s="20"/>
      <c r="C188" s="21"/>
      <c r="D188" s="21"/>
      <c r="E188" s="22"/>
      <c r="F188" s="22">
        <f>E188*D188</f>
        <v>0</v>
      </c>
    </row>
    <row r="189" spans="2:6">
      <c r="B189" s="20"/>
      <c r="C189" s="21"/>
      <c r="D189" s="21"/>
      <c r="E189" s="22"/>
      <c r="F189" s="22">
        <f>E189*D189</f>
        <v>0</v>
      </c>
    </row>
    <row r="190" spans="2:6">
      <c r="B190" s="20"/>
      <c r="C190" s="21"/>
      <c r="D190" s="21"/>
      <c r="E190" s="22"/>
      <c r="F190" s="22">
        <f>E190*D190</f>
        <v>0</v>
      </c>
    </row>
    <row r="191" spans="2:6" ht="17" thickBot="1">
      <c r="B191" s="6" t="s">
        <v>19</v>
      </c>
      <c r="C191" s="8"/>
      <c r="D191" s="8"/>
      <c r="E191" s="8"/>
      <c r="F191" s="23">
        <f>SUM(F187:F190)</f>
        <v>0</v>
      </c>
    </row>
    <row r="192" spans="2:6" ht="17" thickBot="1">
      <c r="B192" s="8"/>
      <c r="C192" s="8"/>
      <c r="D192" s="8"/>
      <c r="E192" s="8"/>
    </row>
    <row r="193" spans="2:6" ht="15" thickTop="1" thickBot="1">
      <c r="B193" s="16" t="s">
        <v>20</v>
      </c>
      <c r="C193" s="17" t="s">
        <v>14</v>
      </c>
      <c r="D193" s="17" t="s">
        <v>15</v>
      </c>
      <c r="E193" s="17" t="s">
        <v>16</v>
      </c>
      <c r="F193" s="18" t="s">
        <v>17</v>
      </c>
    </row>
    <row r="194" spans="2:6" ht="17" thickTop="1">
      <c r="B194" s="8"/>
      <c r="C194" s="8"/>
      <c r="D194" s="8"/>
      <c r="E194" s="8"/>
    </row>
    <row r="195" spans="2:6">
      <c r="B195" s="24" t="s">
        <v>21</v>
      </c>
      <c r="C195" s="20" t="s">
        <v>22</v>
      </c>
      <c r="D195" s="20">
        <v>1</v>
      </c>
      <c r="E195" s="22">
        <v>27500</v>
      </c>
      <c r="F195" s="25">
        <f>E195*D195</f>
        <v>27500</v>
      </c>
    </row>
    <row r="196" spans="2:6">
      <c r="B196" s="20" t="s">
        <v>23</v>
      </c>
      <c r="C196" s="20" t="s">
        <v>22</v>
      </c>
      <c r="D196" s="20">
        <v>1</v>
      </c>
      <c r="E196" s="22">
        <v>15000</v>
      </c>
      <c r="F196" s="25">
        <f>E196*D196</f>
        <v>15000</v>
      </c>
    </row>
    <row r="197" spans="2:6" ht="16">
      <c r="B197" s="26"/>
      <c r="C197" s="26"/>
      <c r="D197" s="26"/>
      <c r="E197" s="26"/>
      <c r="F197" s="25">
        <f>E197*D197</f>
        <v>0</v>
      </c>
    </row>
    <row r="198" spans="2:6" ht="16">
      <c r="B198" s="26"/>
      <c r="C198" s="26"/>
      <c r="D198" s="26"/>
      <c r="E198" s="26"/>
      <c r="F198" s="25">
        <f>E198*D198</f>
        <v>0</v>
      </c>
    </row>
    <row r="199" spans="2:6" ht="16">
      <c r="B199" s="27" t="s">
        <v>25</v>
      </c>
      <c r="C199" s="27" t="s">
        <v>26</v>
      </c>
      <c r="D199" s="28">
        <v>0.32</v>
      </c>
      <c r="E199" s="29">
        <f>SUM(E195:E198)*D199</f>
        <v>13600</v>
      </c>
      <c r="F199" s="25">
        <f>E199*D199</f>
        <v>4352</v>
      </c>
    </row>
    <row r="200" spans="2:6" ht="16">
      <c r="B200" s="8"/>
      <c r="C200" s="8"/>
      <c r="D200" s="8"/>
      <c r="E200" s="8"/>
    </row>
    <row r="201" spans="2:6" ht="17" thickBot="1">
      <c r="B201" s="6" t="s">
        <v>27</v>
      </c>
      <c r="C201" s="8"/>
      <c r="D201" s="8"/>
      <c r="E201" s="8"/>
      <c r="F201" s="23">
        <f>SUM(F195:F200)</f>
        <v>46852</v>
      </c>
    </row>
    <row r="202" spans="2:6" ht="17" thickBot="1">
      <c r="B202" s="8"/>
      <c r="C202" s="8"/>
      <c r="D202" s="8"/>
      <c r="E202" s="8"/>
    </row>
    <row r="203" spans="2:6" ht="15" thickTop="1" thickBot="1">
      <c r="B203" s="16" t="s">
        <v>28</v>
      </c>
      <c r="C203" s="17" t="s">
        <v>14</v>
      </c>
      <c r="D203" s="17" t="s">
        <v>15</v>
      </c>
      <c r="E203" s="17" t="s">
        <v>16</v>
      </c>
      <c r="F203" s="18" t="s">
        <v>17</v>
      </c>
    </row>
    <row r="204" spans="2:6" ht="17" thickTop="1">
      <c r="B204" s="8"/>
      <c r="C204" s="8"/>
      <c r="D204" s="8"/>
      <c r="E204" s="8"/>
    </row>
    <row r="205" spans="2:6">
      <c r="B205" s="20" t="s">
        <v>63</v>
      </c>
      <c r="C205" s="20" t="s">
        <v>30</v>
      </c>
      <c r="D205" s="20">
        <v>4</v>
      </c>
      <c r="E205" s="22">
        <v>15000</v>
      </c>
      <c r="F205" s="25">
        <f>E205*D205</f>
        <v>60000</v>
      </c>
    </row>
    <row r="206" spans="2:6">
      <c r="B206" s="20" t="s">
        <v>64</v>
      </c>
      <c r="C206" s="20" t="s">
        <v>30</v>
      </c>
      <c r="D206" s="20">
        <v>6</v>
      </c>
      <c r="E206" s="22">
        <v>45000</v>
      </c>
      <c r="F206" s="25">
        <f>E206*D206</f>
        <v>270000</v>
      </c>
    </row>
    <row r="207" spans="2:6">
      <c r="B207" s="20" t="s">
        <v>65</v>
      </c>
      <c r="C207" s="20" t="s">
        <v>30</v>
      </c>
      <c r="D207" s="20">
        <v>2</v>
      </c>
      <c r="E207" s="22">
        <v>65000</v>
      </c>
      <c r="F207" s="25">
        <f>E207*D207</f>
        <v>130000</v>
      </c>
    </row>
    <row r="208" spans="2:6" ht="16">
      <c r="B208" s="26"/>
      <c r="C208" s="26"/>
      <c r="D208" s="26"/>
      <c r="E208" s="26"/>
      <c r="F208" s="25">
        <f>E208*D208</f>
        <v>0</v>
      </c>
    </row>
    <row r="209" spans="2:6" ht="16">
      <c r="B209" s="30"/>
      <c r="C209" s="26"/>
      <c r="D209" s="26"/>
      <c r="E209" s="26"/>
      <c r="F209" s="25">
        <f>E209*D209</f>
        <v>0</v>
      </c>
    </row>
    <row r="210" spans="2:6" ht="16">
      <c r="B210" s="8"/>
      <c r="C210" s="8"/>
      <c r="D210" s="8"/>
      <c r="E210" s="8"/>
    </row>
    <row r="211" spans="2:6" ht="14" thickBot="1">
      <c r="B211" s="19" t="s">
        <v>33</v>
      </c>
      <c r="C211" s="19"/>
      <c r="D211" s="19"/>
      <c r="E211" s="19"/>
      <c r="F211" s="23">
        <f>SUM(F205:F210)</f>
        <v>460000</v>
      </c>
    </row>
    <row r="212" spans="2:6" ht="16">
      <c r="B212" s="8"/>
      <c r="C212" s="8"/>
      <c r="D212" s="8"/>
      <c r="E212" s="8"/>
    </row>
    <row r="213" spans="2:6" ht="17" thickBot="1">
      <c r="B213" s="8"/>
      <c r="C213" s="8"/>
      <c r="D213" s="8"/>
      <c r="E213" s="8"/>
    </row>
    <row r="214" spans="2:6" ht="17" thickBot="1">
      <c r="B214" s="31" t="s">
        <v>34</v>
      </c>
      <c r="C214" s="13"/>
      <c r="D214" s="13"/>
      <c r="E214" s="13"/>
      <c r="F214" s="32">
        <f>F191+F201+F211</f>
        <v>506852</v>
      </c>
    </row>
    <row r="215" spans="2:6" ht="17" thickBot="1">
      <c r="B215" s="31" t="s">
        <v>35</v>
      </c>
      <c r="C215" s="13"/>
      <c r="D215" s="13"/>
      <c r="E215" s="33">
        <v>0.1</v>
      </c>
      <c r="F215" s="32">
        <f>F214*E215</f>
        <v>50685.200000000004</v>
      </c>
    </row>
    <row r="216" spans="2:6" ht="17" thickBot="1">
      <c r="B216" s="31" t="s">
        <v>36</v>
      </c>
      <c r="C216" s="13"/>
      <c r="D216" s="13"/>
      <c r="E216" s="33">
        <f>E161</f>
        <v>0.1</v>
      </c>
      <c r="F216" s="32">
        <f>F214*E216</f>
        <v>50685.200000000004</v>
      </c>
    </row>
    <row r="217" spans="2:6" ht="17" thickBot="1">
      <c r="B217" s="34" t="s">
        <v>37</v>
      </c>
      <c r="C217" s="35"/>
      <c r="D217" s="35"/>
      <c r="E217" s="35"/>
      <c r="F217" s="32">
        <f>SUM(F214:F216)</f>
        <v>608222.39999999991</v>
      </c>
    </row>
    <row r="218" spans="2:6" ht="17" thickBot="1">
      <c r="B218" s="36"/>
      <c r="C218" s="8"/>
      <c r="D218" s="8"/>
      <c r="E218" s="8"/>
    </row>
    <row r="219" spans="2:6" ht="18" thickTop="1" thickBot="1">
      <c r="B219" s="37" t="s">
        <v>38</v>
      </c>
      <c r="C219" s="8"/>
      <c r="D219" s="8"/>
      <c r="E219" s="8"/>
    </row>
    <row r="220" spans="2:6" ht="18" thickTop="1" thickBot="1">
      <c r="B220" s="8"/>
      <c r="C220" s="8"/>
      <c r="D220" s="8"/>
      <c r="E220" s="8"/>
    </row>
    <row r="221" spans="2:6" ht="17" thickTop="1">
      <c r="B221" s="38"/>
      <c r="C221" s="13"/>
      <c r="D221" s="13"/>
      <c r="E221" s="39"/>
      <c r="F221" s="40"/>
    </row>
    <row r="222" spans="2:6" ht="16">
      <c r="B222" s="38"/>
      <c r="C222" s="13"/>
      <c r="D222" s="13"/>
      <c r="E222" s="41"/>
      <c r="F222" s="42"/>
    </row>
    <row r="223" spans="2:6" ht="16">
      <c r="B223" s="38"/>
      <c r="C223" s="13"/>
      <c r="D223" s="13"/>
      <c r="E223" s="41"/>
      <c r="F223" s="42"/>
    </row>
    <row r="224" spans="2:6" ht="17" thickBot="1">
      <c r="B224" s="54"/>
      <c r="C224" s="35"/>
      <c r="D224" s="35"/>
      <c r="E224" s="44"/>
      <c r="F224" s="45"/>
    </row>
    <row r="225" spans="2:6" ht="17" thickTop="1">
      <c r="B225" s="46"/>
      <c r="C225" s="46"/>
      <c r="D225" s="46"/>
      <c r="E225" s="47"/>
      <c r="F225" s="47"/>
    </row>
    <row r="226" spans="2:6" ht="16">
      <c r="B226" s="46"/>
      <c r="C226" s="46"/>
      <c r="D226" s="46"/>
      <c r="E226" s="47"/>
      <c r="F226" s="47"/>
    </row>
    <row r="227" spans="2:6" ht="14" thickBot="1">
      <c r="B227" s="1" t="s">
        <v>0</v>
      </c>
      <c r="C227" s="1"/>
    </row>
    <row r="228" spans="2:6" ht="17" thickBot="1">
      <c r="B228" s="1" t="s">
        <v>1</v>
      </c>
      <c r="C228" s="1"/>
      <c r="E228" s="4" t="s">
        <v>2</v>
      </c>
      <c r="F228" s="5"/>
    </row>
    <row r="229" spans="2:6">
      <c r="B229" s="6"/>
    </row>
    <row r="230" spans="2:6" ht="16">
      <c r="B230" s="7" t="s">
        <v>3</v>
      </c>
      <c r="C230" s="7"/>
      <c r="D230" s="7"/>
      <c r="E230" s="7"/>
      <c r="F230" s="7"/>
    </row>
    <row r="231" spans="2:6" ht="16">
      <c r="B231" s="8"/>
      <c r="C231" s="8"/>
      <c r="D231" s="8"/>
      <c r="E231" s="8"/>
    </row>
    <row r="232" spans="2:6" ht="24" customHeight="1">
      <c r="B232" s="9" t="s">
        <v>4</v>
      </c>
      <c r="C232" s="10" t="str">
        <f>C64</f>
        <v>MEJORAMIENTO ESPACIO PUBLICO JJVV LUCILA GODOY ALCAYAGA</v>
      </c>
      <c r="D232" s="10"/>
      <c r="E232" s="10"/>
      <c r="F232" s="11"/>
    </row>
    <row r="233" spans="2:6" ht="16">
      <c r="B233" s="12"/>
      <c r="C233" s="8"/>
      <c r="D233" s="8"/>
      <c r="E233" s="8"/>
    </row>
    <row r="234" spans="2:6" ht="16">
      <c r="B234" s="9" t="s">
        <v>5</v>
      </c>
      <c r="C234" s="13" t="s">
        <v>6</v>
      </c>
      <c r="D234" s="13"/>
      <c r="E234" s="13"/>
      <c r="F234" s="14"/>
    </row>
    <row r="235" spans="2:6" ht="16">
      <c r="B235" s="9"/>
      <c r="C235" s="13"/>
      <c r="D235" s="13"/>
      <c r="E235" s="13"/>
      <c r="F235" s="14"/>
    </row>
    <row r="236" spans="2:6" ht="16">
      <c r="B236" s="9" t="s">
        <v>7</v>
      </c>
      <c r="C236" s="13" t="s">
        <v>66</v>
      </c>
      <c r="D236" s="13"/>
      <c r="E236" s="13"/>
      <c r="F236" s="14"/>
    </row>
    <row r="237" spans="2:6" ht="16">
      <c r="B237" s="9" t="s">
        <v>8</v>
      </c>
      <c r="C237" s="13" t="str">
        <f>'[3]PRESUPUESTO OFICIAL'!C14</f>
        <v>Replanteo, trazado y nivelación</v>
      </c>
      <c r="D237" s="13"/>
      <c r="E237" s="13"/>
      <c r="F237" s="14"/>
    </row>
    <row r="238" spans="2:6" ht="16">
      <c r="B238" s="9" t="s">
        <v>10</v>
      </c>
      <c r="C238" s="13" t="str">
        <f>'[3]PRESUPUESTO OFICIAL'!D14</f>
        <v>m2</v>
      </c>
      <c r="D238" s="13"/>
      <c r="E238" s="13"/>
      <c r="F238" s="14"/>
    </row>
    <row r="239" spans="2:6" ht="16">
      <c r="B239" s="9" t="s">
        <v>12</v>
      </c>
      <c r="C239" s="15">
        <f>C71</f>
        <v>46024</v>
      </c>
      <c r="D239" s="13"/>
      <c r="E239" s="13"/>
      <c r="F239" s="14"/>
    </row>
    <row r="240" spans="2:6" ht="17" thickBot="1">
      <c r="B240" s="8"/>
      <c r="C240" s="8"/>
      <c r="D240" s="8"/>
      <c r="E240" s="8"/>
    </row>
    <row r="241" spans="2:6" ht="15" thickTop="1" thickBot="1">
      <c r="B241" s="16" t="s">
        <v>13</v>
      </c>
      <c r="C241" s="17" t="s">
        <v>14</v>
      </c>
      <c r="D241" s="17" t="s">
        <v>15</v>
      </c>
      <c r="E241" s="17" t="s">
        <v>16</v>
      </c>
      <c r="F241" s="18" t="s">
        <v>17</v>
      </c>
    </row>
    <row r="242" spans="2:6" ht="14" thickTop="1">
      <c r="B242" s="19"/>
      <c r="C242" s="19"/>
      <c r="D242" s="19"/>
      <c r="E242" s="19"/>
      <c r="F242" s="19"/>
    </row>
    <row r="243" spans="2:6">
      <c r="B243" s="20" t="s">
        <v>67</v>
      </c>
      <c r="C243" s="21" t="s">
        <v>56</v>
      </c>
      <c r="D243" s="21">
        <v>4.0000000000000001E-3</v>
      </c>
      <c r="E243" s="22">
        <v>5300</v>
      </c>
      <c r="F243" s="22">
        <f t="shared" ref="F243:F248" si="2">E243*D243</f>
        <v>21.2</v>
      </c>
    </row>
    <row r="244" spans="2:6">
      <c r="B244" s="20" t="s">
        <v>68</v>
      </c>
      <c r="C244" s="21" t="s">
        <v>56</v>
      </c>
      <c r="D244" s="21">
        <v>1.0999999999999999E-2</v>
      </c>
      <c r="E244" s="22">
        <v>2200</v>
      </c>
      <c r="F244" s="22">
        <f t="shared" si="2"/>
        <v>24.2</v>
      </c>
    </row>
    <row r="245" spans="2:6">
      <c r="B245" s="20" t="s">
        <v>69</v>
      </c>
      <c r="C245" s="21" t="s">
        <v>56</v>
      </c>
      <c r="D245" s="21">
        <v>8.0000000000000002E-3</v>
      </c>
      <c r="E245" s="22">
        <v>14000</v>
      </c>
      <c r="F245" s="22">
        <f t="shared" si="2"/>
        <v>112</v>
      </c>
    </row>
    <row r="246" spans="2:6">
      <c r="B246" s="20"/>
      <c r="C246" s="21"/>
      <c r="D246" s="21"/>
      <c r="E246" s="21"/>
      <c r="F246" s="22">
        <f t="shared" si="2"/>
        <v>0</v>
      </c>
    </row>
    <row r="247" spans="2:6">
      <c r="B247" s="20"/>
      <c r="C247" s="21"/>
      <c r="D247" s="21"/>
      <c r="E247" s="21"/>
      <c r="F247" s="22">
        <f t="shared" si="2"/>
        <v>0</v>
      </c>
    </row>
    <row r="248" spans="2:6">
      <c r="B248" s="20"/>
      <c r="C248" s="21"/>
      <c r="D248" s="21"/>
      <c r="E248" s="21"/>
      <c r="F248" s="22">
        <f t="shared" si="2"/>
        <v>0</v>
      </c>
    </row>
    <row r="249" spans="2:6" ht="17" thickBot="1">
      <c r="B249" s="6" t="s">
        <v>19</v>
      </c>
      <c r="C249" s="8"/>
      <c r="D249" s="8"/>
      <c r="E249" s="8"/>
      <c r="F249" s="23">
        <f>SUM(F243:F248)</f>
        <v>157.4</v>
      </c>
    </row>
    <row r="250" spans="2:6" ht="17" thickBot="1">
      <c r="B250" s="8"/>
      <c r="C250" s="8"/>
      <c r="D250" s="8"/>
      <c r="E250" s="8"/>
    </row>
    <row r="251" spans="2:6" ht="15" thickTop="1" thickBot="1">
      <c r="B251" s="16" t="s">
        <v>20</v>
      </c>
      <c r="C251" s="17" t="s">
        <v>14</v>
      </c>
      <c r="D251" s="17" t="s">
        <v>15</v>
      </c>
      <c r="E251" s="17" t="s">
        <v>16</v>
      </c>
      <c r="F251" s="18" t="s">
        <v>17</v>
      </c>
    </row>
    <row r="252" spans="2:6" ht="17" thickTop="1">
      <c r="B252" s="8"/>
      <c r="C252" s="8"/>
      <c r="D252" s="8"/>
      <c r="E252" s="8"/>
    </row>
    <row r="253" spans="2:6">
      <c r="B253" s="24" t="s">
        <v>70</v>
      </c>
      <c r="C253" s="20" t="s">
        <v>22</v>
      </c>
      <c r="D253" s="20">
        <v>7.6E-3</v>
      </c>
      <c r="E253" s="22">
        <v>65000</v>
      </c>
      <c r="F253" s="25">
        <f>E253*D253</f>
        <v>494</v>
      </c>
    </row>
    <row r="254" spans="2:6">
      <c r="B254" s="20" t="s">
        <v>71</v>
      </c>
      <c r="C254" s="20" t="s">
        <v>22</v>
      </c>
      <c r="D254" s="20">
        <v>7.6E-3</v>
      </c>
      <c r="E254" s="22">
        <v>35000</v>
      </c>
      <c r="F254" s="25">
        <f>E254*D254</f>
        <v>266</v>
      </c>
    </row>
    <row r="255" spans="2:6" ht="16">
      <c r="B255" s="26"/>
      <c r="C255" s="26"/>
      <c r="D255" s="26"/>
      <c r="E255" s="26"/>
      <c r="F255" s="25">
        <f>E255*D255</f>
        <v>0</v>
      </c>
    </row>
    <row r="256" spans="2:6" ht="16">
      <c r="B256" s="26"/>
      <c r="C256" s="26"/>
      <c r="D256" s="26"/>
      <c r="E256" s="26"/>
      <c r="F256" s="25">
        <f>E256*D256</f>
        <v>0</v>
      </c>
    </row>
    <row r="257" spans="2:6" ht="16">
      <c r="B257" s="27" t="s">
        <v>25</v>
      </c>
      <c r="C257" s="27" t="s">
        <v>26</v>
      </c>
      <c r="D257" s="28">
        <v>0.32</v>
      </c>
      <c r="E257" s="29">
        <f>SUM(E253:E256)*D257</f>
        <v>32000</v>
      </c>
      <c r="F257" s="25">
        <f>SUM(F253:F256)*D257</f>
        <v>243.20000000000002</v>
      </c>
    </row>
    <row r="258" spans="2:6" ht="16">
      <c r="B258" s="8"/>
      <c r="C258" s="8"/>
      <c r="D258" s="8"/>
      <c r="E258" s="8"/>
    </row>
    <row r="259" spans="2:6" ht="17" thickBot="1">
      <c r="B259" s="6" t="s">
        <v>27</v>
      </c>
      <c r="C259" s="8"/>
      <c r="D259" s="8"/>
      <c r="E259" s="8"/>
      <c r="F259" s="23">
        <f>SUM(F253:F257)*D257</f>
        <v>321.024</v>
      </c>
    </row>
    <row r="260" spans="2:6" ht="17" thickBot="1">
      <c r="B260" s="8"/>
      <c r="C260" s="8"/>
      <c r="D260" s="8"/>
      <c r="E260" s="8"/>
    </row>
    <row r="261" spans="2:6" ht="15" thickTop="1" thickBot="1">
      <c r="B261" s="16" t="s">
        <v>28</v>
      </c>
      <c r="C261" s="17" t="s">
        <v>14</v>
      </c>
      <c r="D261" s="17" t="s">
        <v>15</v>
      </c>
      <c r="E261" s="17" t="s">
        <v>16</v>
      </c>
      <c r="F261" s="18" t="s">
        <v>17</v>
      </c>
    </row>
    <row r="262" spans="2:6" ht="17" thickTop="1">
      <c r="B262" s="8"/>
      <c r="C262" s="8"/>
      <c r="D262" s="8"/>
      <c r="E262" s="8"/>
    </row>
    <row r="263" spans="2:6">
      <c r="B263" s="20" t="s">
        <v>72</v>
      </c>
      <c r="C263" s="20" t="s">
        <v>43</v>
      </c>
      <c r="D263" s="20">
        <v>2E-3</v>
      </c>
      <c r="E263" s="22">
        <v>65000</v>
      </c>
      <c r="F263" s="25">
        <f>E263*D263</f>
        <v>130</v>
      </c>
    </row>
    <row r="264" spans="2:6">
      <c r="B264" s="20" t="s">
        <v>73</v>
      </c>
      <c r="C264" s="20" t="s">
        <v>43</v>
      </c>
      <c r="D264" s="20">
        <v>2E-3</v>
      </c>
      <c r="E264" s="22">
        <v>25000</v>
      </c>
      <c r="F264" s="25">
        <f>E264*D264</f>
        <v>50</v>
      </c>
    </row>
    <row r="265" spans="2:6" ht="16">
      <c r="B265" s="27" t="s">
        <v>74</v>
      </c>
      <c r="C265" s="20" t="s">
        <v>43</v>
      </c>
      <c r="D265" s="20">
        <v>2.9000000000000001E-2</v>
      </c>
      <c r="E265" s="22">
        <v>25000</v>
      </c>
      <c r="F265" s="25">
        <f>E265*D265</f>
        <v>725</v>
      </c>
    </row>
    <row r="266" spans="2:6" ht="16">
      <c r="B266" s="26"/>
      <c r="C266" s="26"/>
      <c r="D266" s="26"/>
      <c r="E266" s="26"/>
      <c r="F266" s="25">
        <f>E266*D266</f>
        <v>0</v>
      </c>
    </row>
    <row r="267" spans="2:6" ht="16">
      <c r="B267" s="30"/>
      <c r="C267" s="26"/>
      <c r="D267" s="26"/>
      <c r="E267" s="26"/>
      <c r="F267" s="25">
        <f>E267*D267</f>
        <v>0</v>
      </c>
    </row>
    <row r="268" spans="2:6" ht="16">
      <c r="B268" s="8"/>
      <c r="C268" s="8"/>
      <c r="D268" s="8"/>
      <c r="E268" s="8"/>
    </row>
    <row r="269" spans="2:6" ht="14" thickBot="1">
      <c r="B269" s="19" t="s">
        <v>33</v>
      </c>
      <c r="C269" s="19"/>
      <c r="D269" s="19"/>
      <c r="E269" s="19"/>
      <c r="F269" s="23">
        <f>SUM(F263:F268)</f>
        <v>905</v>
      </c>
    </row>
    <row r="270" spans="2:6" ht="16">
      <c r="B270" s="8"/>
      <c r="C270" s="8"/>
      <c r="D270" s="8"/>
      <c r="E270" s="8"/>
    </row>
    <row r="271" spans="2:6" ht="17" thickBot="1">
      <c r="B271" s="8"/>
      <c r="C271" s="8"/>
      <c r="D271" s="8"/>
      <c r="E271" s="8"/>
    </row>
    <row r="272" spans="2:6" ht="17" thickBot="1">
      <c r="B272" s="31" t="s">
        <v>34</v>
      </c>
      <c r="C272" s="13"/>
      <c r="D272" s="13"/>
      <c r="E272" s="13"/>
      <c r="F272" s="32">
        <f>F249+F259+F269</f>
        <v>1383.424</v>
      </c>
    </row>
    <row r="273" spans="2:6" ht="17" thickBot="1">
      <c r="B273" s="31" t="s">
        <v>35</v>
      </c>
      <c r="C273" s="13"/>
      <c r="D273" s="13"/>
      <c r="E273" s="33">
        <f>E103</f>
        <v>0.1</v>
      </c>
      <c r="F273" s="32">
        <f>F272*E273</f>
        <v>138.3424</v>
      </c>
    </row>
    <row r="274" spans="2:6" ht="17" thickBot="1">
      <c r="B274" s="31" t="s">
        <v>36</v>
      </c>
      <c r="C274" s="13"/>
      <c r="D274" s="13"/>
      <c r="E274" s="33">
        <f>E104</f>
        <v>0.1</v>
      </c>
      <c r="F274" s="32">
        <f>F272*E274</f>
        <v>138.3424</v>
      </c>
    </row>
    <row r="275" spans="2:6" ht="17" thickBot="1">
      <c r="B275" s="34" t="s">
        <v>37</v>
      </c>
      <c r="C275" s="35"/>
      <c r="D275" s="35"/>
      <c r="E275" s="35"/>
      <c r="F275" s="32">
        <f>SUM(F272:F274)</f>
        <v>1660.1088</v>
      </c>
    </row>
    <row r="276" spans="2:6" ht="17" thickBot="1">
      <c r="B276" s="36"/>
      <c r="C276" s="8"/>
      <c r="D276" s="8"/>
      <c r="E276" s="8"/>
    </row>
    <row r="277" spans="2:6" ht="18" thickTop="1" thickBot="1">
      <c r="B277" s="37" t="s">
        <v>38</v>
      </c>
      <c r="C277" s="8"/>
      <c r="D277" s="8"/>
      <c r="E277" s="8"/>
    </row>
    <row r="278" spans="2:6" ht="18" thickTop="1" thickBot="1">
      <c r="B278" s="8"/>
      <c r="C278" s="8"/>
      <c r="D278" s="8"/>
      <c r="E278" s="8"/>
    </row>
    <row r="279" spans="2:6" ht="17" thickTop="1">
      <c r="B279" s="38"/>
      <c r="C279" s="13"/>
      <c r="D279" s="13"/>
      <c r="E279" s="39"/>
      <c r="F279" s="40"/>
    </row>
    <row r="280" spans="2:6" ht="16">
      <c r="B280" s="38"/>
      <c r="C280" s="13"/>
      <c r="D280" s="13"/>
      <c r="E280" s="41"/>
      <c r="F280" s="42"/>
    </row>
    <row r="281" spans="2:6" ht="16">
      <c r="B281" s="38"/>
      <c r="C281" s="13"/>
      <c r="D281" s="13"/>
      <c r="E281" s="41"/>
      <c r="F281" s="42"/>
    </row>
    <row r="282" spans="2:6" ht="17" thickBot="1">
      <c r="B282" s="54"/>
      <c r="C282" s="35"/>
      <c r="D282" s="35"/>
      <c r="E282" s="44"/>
      <c r="F282" s="45"/>
    </row>
    <row r="283" spans="2:6" ht="17" thickTop="1">
      <c r="B283" s="46"/>
      <c r="C283" s="46"/>
      <c r="D283" s="46"/>
      <c r="E283" s="47"/>
      <c r="F283" s="47"/>
    </row>
    <row r="284" spans="2:6" ht="14" thickBot="1">
      <c r="B284" s="1" t="s">
        <v>0</v>
      </c>
      <c r="C284" s="1"/>
    </row>
    <row r="285" spans="2:6" ht="17" thickBot="1">
      <c r="B285" s="1" t="s">
        <v>1</v>
      </c>
      <c r="C285" s="1"/>
      <c r="E285" s="4" t="s">
        <v>2</v>
      </c>
      <c r="F285" s="5"/>
    </row>
    <row r="286" spans="2:6">
      <c r="B286" s="6"/>
    </row>
    <row r="287" spans="2:6" ht="16">
      <c r="B287" s="7" t="s">
        <v>3</v>
      </c>
      <c r="C287" s="7"/>
      <c r="D287" s="7"/>
      <c r="E287" s="7"/>
      <c r="F287" s="7"/>
    </row>
    <row r="288" spans="2:6" ht="16">
      <c r="B288" s="8"/>
      <c r="C288" s="8"/>
      <c r="D288" s="8"/>
      <c r="E288" s="8"/>
    </row>
    <row r="289" spans="2:6" ht="28" customHeight="1">
      <c r="B289" s="9" t="s">
        <v>4</v>
      </c>
      <c r="C289" s="10" t="str">
        <f>C232</f>
        <v>MEJORAMIENTO ESPACIO PUBLICO JJVV LUCILA GODOY ALCAYAGA</v>
      </c>
      <c r="D289" s="10"/>
      <c r="E289" s="10"/>
      <c r="F289" s="11"/>
    </row>
    <row r="290" spans="2:6" ht="16">
      <c r="B290" s="12"/>
      <c r="C290" s="8"/>
      <c r="D290" s="8"/>
      <c r="E290" s="8"/>
    </row>
    <row r="291" spans="2:6" ht="16">
      <c r="B291" s="9" t="s">
        <v>5</v>
      </c>
      <c r="C291" s="13" t="s">
        <v>6</v>
      </c>
      <c r="D291" s="13"/>
      <c r="E291" s="13"/>
      <c r="F291" s="14"/>
    </row>
    <row r="292" spans="2:6" ht="16">
      <c r="B292" s="9"/>
      <c r="C292" s="13"/>
      <c r="D292" s="13"/>
      <c r="E292" s="13"/>
      <c r="F292" s="14"/>
    </row>
    <row r="293" spans="2:6" ht="16">
      <c r="B293" s="9" t="s">
        <v>7</v>
      </c>
      <c r="C293" s="13" t="s">
        <v>75</v>
      </c>
      <c r="D293" s="13"/>
      <c r="E293" s="13"/>
      <c r="F293" s="14"/>
    </row>
    <row r="294" spans="2:6" ht="16">
      <c r="B294" s="9" t="s">
        <v>8</v>
      </c>
      <c r="C294" s="13" t="s">
        <v>76</v>
      </c>
      <c r="D294" s="13"/>
      <c r="E294" s="13"/>
      <c r="F294" s="14"/>
    </row>
    <row r="295" spans="2:6" ht="16">
      <c r="B295" s="9" t="s">
        <v>10</v>
      </c>
      <c r="C295" s="13" t="s">
        <v>11</v>
      </c>
      <c r="D295" s="13"/>
      <c r="E295" s="13"/>
      <c r="F295" s="14"/>
    </row>
    <row r="296" spans="2:6" ht="16">
      <c r="B296" s="9" t="s">
        <v>12</v>
      </c>
      <c r="C296" s="15">
        <f>C239</f>
        <v>46024</v>
      </c>
      <c r="D296" s="13"/>
      <c r="E296" s="13"/>
      <c r="F296" s="14"/>
    </row>
    <row r="297" spans="2:6" ht="17" thickBot="1">
      <c r="B297" s="8"/>
      <c r="C297" s="8"/>
      <c r="D297" s="8"/>
      <c r="E297" s="8"/>
    </row>
    <row r="298" spans="2:6" ht="15" thickTop="1" thickBot="1">
      <c r="B298" s="16" t="s">
        <v>13</v>
      </c>
      <c r="C298" s="17" t="s">
        <v>14</v>
      </c>
      <c r="D298" s="17" t="s">
        <v>15</v>
      </c>
      <c r="E298" s="17" t="s">
        <v>16</v>
      </c>
      <c r="F298" s="18" t="s">
        <v>17</v>
      </c>
    </row>
    <row r="299" spans="2:6" ht="14" thickTop="1">
      <c r="B299" s="19"/>
      <c r="C299" s="19"/>
      <c r="D299" s="19"/>
      <c r="E299" s="19"/>
      <c r="F299" s="19"/>
    </row>
    <row r="300" spans="2:6">
      <c r="B300" s="20" t="s">
        <v>77</v>
      </c>
      <c r="C300" s="21" t="s">
        <v>43</v>
      </c>
      <c r="D300" s="21">
        <v>2</v>
      </c>
      <c r="E300" s="22">
        <v>150000</v>
      </c>
      <c r="F300" s="22">
        <f t="shared" ref="F300:F305" si="3">E300*D300</f>
        <v>300000</v>
      </c>
    </row>
    <row r="301" spans="2:6">
      <c r="B301" s="20"/>
      <c r="C301" s="21"/>
      <c r="D301" s="21"/>
      <c r="E301" s="22"/>
      <c r="F301" s="22">
        <f t="shared" si="3"/>
        <v>0</v>
      </c>
    </row>
    <row r="302" spans="2:6">
      <c r="B302" s="20"/>
      <c r="C302" s="21"/>
      <c r="D302" s="21"/>
      <c r="E302" s="22"/>
      <c r="F302" s="22">
        <f t="shared" si="3"/>
        <v>0</v>
      </c>
    </row>
    <row r="303" spans="2:6">
      <c r="B303" s="20"/>
      <c r="C303" s="21"/>
      <c r="D303" s="21"/>
      <c r="E303" s="22"/>
      <c r="F303" s="22">
        <f t="shared" si="3"/>
        <v>0</v>
      </c>
    </row>
    <row r="304" spans="2:6">
      <c r="B304" s="20"/>
      <c r="C304" s="21"/>
      <c r="D304" s="21"/>
      <c r="E304" s="22"/>
      <c r="F304" s="22">
        <f t="shared" si="3"/>
        <v>0</v>
      </c>
    </row>
    <row r="305" spans="2:6">
      <c r="B305" s="20"/>
      <c r="C305" s="21"/>
      <c r="D305" s="21"/>
      <c r="E305" s="22"/>
      <c r="F305" s="22">
        <f t="shared" si="3"/>
        <v>0</v>
      </c>
    </row>
    <row r="306" spans="2:6" ht="17" thickBot="1">
      <c r="B306" s="6" t="s">
        <v>19</v>
      </c>
      <c r="C306" s="8"/>
      <c r="D306" s="8"/>
      <c r="E306" s="8"/>
      <c r="F306" s="23">
        <f>SUM(F300:F305)</f>
        <v>300000</v>
      </c>
    </row>
    <row r="307" spans="2:6" ht="17" thickBot="1">
      <c r="B307" s="8"/>
      <c r="C307" s="8"/>
      <c r="D307" s="8"/>
      <c r="E307" s="8"/>
    </row>
    <row r="308" spans="2:6" ht="15" thickTop="1" thickBot="1">
      <c r="B308" s="16" t="s">
        <v>20</v>
      </c>
      <c r="C308" s="17" t="s">
        <v>14</v>
      </c>
      <c r="D308" s="17" t="s">
        <v>15</v>
      </c>
      <c r="E308" s="17" t="s">
        <v>16</v>
      </c>
      <c r="F308" s="18" t="s">
        <v>17</v>
      </c>
    </row>
    <row r="309" spans="2:6" ht="17" thickTop="1">
      <c r="B309" s="8"/>
      <c r="C309" s="8"/>
      <c r="D309" s="8"/>
      <c r="E309" s="8"/>
    </row>
    <row r="310" spans="2:6">
      <c r="B310" s="24" t="s">
        <v>21</v>
      </c>
      <c r="C310" s="20" t="s">
        <v>22</v>
      </c>
      <c r="D310" s="20"/>
      <c r="E310" s="22"/>
      <c r="F310" s="25">
        <f>E310*D310</f>
        <v>0</v>
      </c>
    </row>
    <row r="311" spans="2:6">
      <c r="B311" s="20" t="s">
        <v>23</v>
      </c>
      <c r="C311" s="20" t="s">
        <v>22</v>
      </c>
      <c r="D311" s="20"/>
      <c r="E311" s="22"/>
      <c r="F311" s="25">
        <f>E311*D311</f>
        <v>0</v>
      </c>
    </row>
    <row r="312" spans="2:6" ht="16">
      <c r="B312" s="26"/>
      <c r="C312" s="26"/>
      <c r="D312" s="26"/>
      <c r="E312" s="26"/>
      <c r="F312" s="25">
        <f>E312*D312</f>
        <v>0</v>
      </c>
    </row>
    <row r="313" spans="2:6" ht="16">
      <c r="B313" s="26"/>
      <c r="C313" s="26"/>
      <c r="D313" s="26"/>
      <c r="E313" s="26"/>
      <c r="F313" s="25">
        <f>E313*D313</f>
        <v>0</v>
      </c>
    </row>
    <row r="314" spans="2:6" ht="16">
      <c r="B314" s="27" t="s">
        <v>25</v>
      </c>
      <c r="C314" s="26"/>
      <c r="D314" s="26"/>
      <c r="E314" s="26"/>
      <c r="F314" s="25">
        <f>E314*D314</f>
        <v>0</v>
      </c>
    </row>
    <row r="315" spans="2:6" ht="16">
      <c r="B315" s="8"/>
      <c r="C315" s="8"/>
      <c r="D315" s="8"/>
      <c r="E315" s="8"/>
    </row>
    <row r="316" spans="2:6" ht="17" thickBot="1">
      <c r="B316" s="6" t="s">
        <v>27</v>
      </c>
      <c r="C316" s="8"/>
      <c r="D316" s="8"/>
      <c r="E316" s="8"/>
      <c r="F316" s="23">
        <f>SUM(F310:F315)</f>
        <v>0</v>
      </c>
    </row>
    <row r="317" spans="2:6" ht="17" thickBot="1">
      <c r="B317" s="8"/>
      <c r="C317" s="8"/>
      <c r="D317" s="8"/>
      <c r="E317" s="8"/>
    </row>
    <row r="318" spans="2:6" ht="15" thickTop="1" thickBot="1">
      <c r="B318" s="16" t="s">
        <v>28</v>
      </c>
      <c r="C318" s="17" t="s">
        <v>14</v>
      </c>
      <c r="D318" s="17" t="s">
        <v>15</v>
      </c>
      <c r="E318" s="17" t="s">
        <v>16</v>
      </c>
      <c r="F318" s="18" t="s">
        <v>17</v>
      </c>
    </row>
    <row r="319" spans="2:6" ht="17" thickTop="1">
      <c r="B319" s="8"/>
      <c r="C319" s="8"/>
      <c r="D319" s="8"/>
      <c r="E319" s="8"/>
    </row>
    <row r="320" spans="2:6">
      <c r="B320" s="20" t="s">
        <v>78</v>
      </c>
      <c r="C320" s="20" t="s">
        <v>30</v>
      </c>
      <c r="D320" s="20">
        <v>2</v>
      </c>
      <c r="E320" s="22">
        <v>65000</v>
      </c>
      <c r="F320" s="25">
        <f>E320*D320</f>
        <v>130000</v>
      </c>
    </row>
    <row r="321" spans="2:6">
      <c r="B321" s="20"/>
      <c r="C321" s="20"/>
      <c r="D321" s="55"/>
      <c r="E321" s="22"/>
      <c r="F321" s="25">
        <f>E321*D321</f>
        <v>0</v>
      </c>
    </row>
    <row r="322" spans="2:6" ht="16">
      <c r="B322" s="26"/>
      <c r="C322" s="26"/>
      <c r="D322" s="26"/>
      <c r="E322" s="26"/>
      <c r="F322" s="25">
        <f>E322*D322</f>
        <v>0</v>
      </c>
    </row>
    <row r="323" spans="2:6" ht="16">
      <c r="B323" s="26"/>
      <c r="C323" s="26"/>
      <c r="D323" s="26"/>
      <c r="E323" s="26"/>
      <c r="F323" s="25">
        <f>E323*D323</f>
        <v>0</v>
      </c>
    </row>
    <row r="324" spans="2:6" ht="16">
      <c r="B324" s="30"/>
      <c r="C324" s="26"/>
      <c r="D324" s="26"/>
      <c r="E324" s="26"/>
      <c r="F324" s="25">
        <f>E324*D324</f>
        <v>0</v>
      </c>
    </row>
    <row r="325" spans="2:6" ht="16">
      <c r="B325" s="8"/>
      <c r="C325" s="8"/>
      <c r="D325" s="8"/>
      <c r="E325" s="8"/>
    </row>
    <row r="326" spans="2:6" ht="14" thickBot="1">
      <c r="B326" s="19" t="s">
        <v>33</v>
      </c>
      <c r="C326" s="19"/>
      <c r="D326" s="19"/>
      <c r="E326" s="19"/>
      <c r="F326" s="23">
        <f>SUM(F320:F325)</f>
        <v>130000</v>
      </c>
    </row>
    <row r="327" spans="2:6" ht="16">
      <c r="B327" s="8"/>
      <c r="C327" s="8"/>
      <c r="D327" s="8"/>
      <c r="E327" s="8"/>
    </row>
    <row r="328" spans="2:6" ht="17" thickBot="1">
      <c r="B328" s="8"/>
      <c r="C328" s="8"/>
      <c r="D328" s="8"/>
      <c r="E328" s="8"/>
    </row>
    <row r="329" spans="2:6" ht="17" thickBot="1">
      <c r="B329" s="31" t="s">
        <v>34</v>
      </c>
      <c r="C329" s="13"/>
      <c r="D329" s="13"/>
      <c r="E329" s="13"/>
      <c r="F329" s="32">
        <f>F306+F316+F326</f>
        <v>430000</v>
      </c>
    </row>
    <row r="330" spans="2:6" ht="17" thickBot="1">
      <c r="B330" s="31" t="s">
        <v>35</v>
      </c>
      <c r="C330" s="13"/>
      <c r="D330" s="13"/>
      <c r="E330" s="33">
        <v>0.1</v>
      </c>
      <c r="F330" s="32">
        <f>F329*E330</f>
        <v>43000</v>
      </c>
    </row>
    <row r="331" spans="2:6" ht="17" thickBot="1">
      <c r="B331" s="31" t="s">
        <v>36</v>
      </c>
      <c r="C331" s="13"/>
      <c r="D331" s="13"/>
      <c r="E331" s="33">
        <f>E274</f>
        <v>0.1</v>
      </c>
      <c r="F331" s="32">
        <f>F329*E331</f>
        <v>43000</v>
      </c>
    </row>
    <row r="332" spans="2:6" ht="17" thickBot="1">
      <c r="B332" s="34" t="s">
        <v>37</v>
      </c>
      <c r="C332" s="35"/>
      <c r="D332" s="35"/>
      <c r="E332" s="35"/>
      <c r="F332" s="32">
        <f>SUM(F329:F331)</f>
        <v>516000</v>
      </c>
    </row>
    <row r="333" spans="2:6" ht="17" thickBot="1">
      <c r="B333" s="36"/>
      <c r="C333" s="8"/>
      <c r="D333" s="8"/>
      <c r="E333" s="8"/>
    </row>
    <row r="334" spans="2:6" ht="18" thickTop="1" thickBot="1">
      <c r="B334" s="37" t="s">
        <v>38</v>
      </c>
      <c r="C334" s="8"/>
      <c r="D334" s="8"/>
      <c r="E334" s="8"/>
    </row>
    <row r="335" spans="2:6" ht="18" thickTop="1" thickBot="1">
      <c r="B335" s="8"/>
      <c r="C335" s="8"/>
      <c r="D335" s="8"/>
      <c r="E335" s="8"/>
    </row>
    <row r="336" spans="2:6" ht="17" thickTop="1">
      <c r="B336" s="38"/>
      <c r="C336" s="13"/>
      <c r="D336" s="13"/>
      <c r="E336" s="39"/>
      <c r="F336" s="40"/>
    </row>
    <row r="337" spans="2:6" ht="16">
      <c r="B337" s="38"/>
      <c r="C337" s="13"/>
      <c r="D337" s="13"/>
      <c r="E337" s="41"/>
      <c r="F337" s="42"/>
    </row>
    <row r="338" spans="2:6" ht="16">
      <c r="B338" s="38"/>
      <c r="C338" s="13"/>
      <c r="D338" s="13"/>
      <c r="E338" s="41"/>
      <c r="F338" s="42"/>
    </row>
    <row r="339" spans="2:6" ht="17" thickBot="1">
      <c r="B339" s="54"/>
      <c r="C339" s="35"/>
      <c r="D339" s="35"/>
      <c r="E339" s="44"/>
      <c r="F339" s="45"/>
    </row>
    <row r="340" spans="2:6" ht="17" thickTop="1">
      <c r="B340" s="46"/>
      <c r="C340" s="46"/>
      <c r="D340" s="46"/>
      <c r="E340" s="47"/>
      <c r="F340" s="47"/>
    </row>
    <row r="341" spans="2:6" ht="14" thickBot="1">
      <c r="B341" s="6" t="s">
        <v>0</v>
      </c>
      <c r="C341" s="6"/>
    </row>
    <row r="342" spans="2:6" ht="17" thickBot="1">
      <c r="B342" s="1" t="s">
        <v>1</v>
      </c>
      <c r="C342" s="1"/>
      <c r="E342" s="4" t="s">
        <v>2</v>
      </c>
      <c r="F342" s="5"/>
    </row>
    <row r="343" spans="2:6">
      <c r="B343" s="6"/>
    </row>
    <row r="344" spans="2:6" ht="16">
      <c r="B344" s="7" t="s">
        <v>3</v>
      </c>
      <c r="C344" s="7"/>
      <c r="D344" s="7"/>
      <c r="E344" s="7"/>
      <c r="F344" s="7"/>
    </row>
    <row r="345" spans="2:6" ht="16">
      <c r="B345" s="8"/>
      <c r="C345" s="8"/>
      <c r="D345" s="8"/>
      <c r="E345" s="8"/>
    </row>
    <row r="346" spans="2:6" ht="19" customHeight="1">
      <c r="B346" s="9" t="s">
        <v>4</v>
      </c>
      <c r="C346" s="10" t="str">
        <f>C289</f>
        <v>MEJORAMIENTO ESPACIO PUBLICO JJVV LUCILA GODOY ALCAYAGA</v>
      </c>
      <c r="D346" s="10"/>
      <c r="E346" s="10"/>
      <c r="F346" s="11"/>
    </row>
    <row r="347" spans="2:6" ht="16">
      <c r="B347" s="12"/>
      <c r="C347" s="8"/>
      <c r="D347" s="8"/>
      <c r="E347" s="8"/>
    </row>
    <row r="348" spans="2:6" ht="16">
      <c r="B348" s="9" t="s">
        <v>5</v>
      </c>
      <c r="C348" s="13" t="s">
        <v>6</v>
      </c>
      <c r="D348" s="13"/>
      <c r="E348" s="13"/>
      <c r="F348" s="14"/>
    </row>
    <row r="349" spans="2:6" ht="16">
      <c r="B349" s="9"/>
      <c r="C349" s="13"/>
      <c r="D349" s="13"/>
      <c r="E349" s="13"/>
      <c r="F349" s="14"/>
    </row>
    <row r="350" spans="2:6" ht="16">
      <c r="B350" s="9" t="s">
        <v>7</v>
      </c>
      <c r="C350" s="13" t="s">
        <v>79</v>
      </c>
      <c r="D350" s="13"/>
      <c r="E350" s="13"/>
      <c r="F350" s="14"/>
    </row>
    <row r="351" spans="2:6" ht="16">
      <c r="B351" s="9" t="s">
        <v>8</v>
      </c>
      <c r="C351" s="13" t="s">
        <v>80</v>
      </c>
      <c r="D351" s="13"/>
      <c r="E351" s="13"/>
      <c r="F351" s="14"/>
    </row>
    <row r="352" spans="2:6" ht="16">
      <c r="B352" s="9" t="s">
        <v>10</v>
      </c>
      <c r="C352" s="13" t="s">
        <v>81</v>
      </c>
      <c r="D352" s="13"/>
      <c r="E352" s="13"/>
      <c r="F352" s="14"/>
    </row>
    <row r="353" spans="2:6" ht="16">
      <c r="B353" s="9" t="s">
        <v>12</v>
      </c>
      <c r="C353" s="15">
        <f>C296</f>
        <v>46024</v>
      </c>
      <c r="D353" s="13"/>
      <c r="E353" s="13"/>
      <c r="F353" s="14"/>
    </row>
    <row r="354" spans="2:6" ht="17" thickBot="1">
      <c r="B354" s="8"/>
      <c r="C354" s="8"/>
      <c r="D354" s="8"/>
      <c r="E354" s="8"/>
    </row>
    <row r="355" spans="2:6" ht="15" thickTop="1" thickBot="1">
      <c r="B355" s="16" t="s">
        <v>13</v>
      </c>
      <c r="C355" s="17" t="s">
        <v>14</v>
      </c>
      <c r="D355" s="17" t="s">
        <v>15</v>
      </c>
      <c r="E355" s="17" t="s">
        <v>16</v>
      </c>
      <c r="F355" s="18" t="s">
        <v>17</v>
      </c>
    </row>
    <row r="356" spans="2:6" ht="14" thickTop="1">
      <c r="B356" s="19"/>
      <c r="C356" s="19"/>
      <c r="D356" s="19"/>
      <c r="E356" s="19"/>
      <c r="F356" s="19"/>
    </row>
    <row r="357" spans="2:6">
      <c r="B357" s="20"/>
      <c r="C357" s="21"/>
      <c r="D357" s="21"/>
      <c r="E357" s="22"/>
      <c r="F357" s="22">
        <f t="shared" ref="F357:F362" si="4">E357*D357</f>
        <v>0</v>
      </c>
    </row>
    <row r="358" spans="2:6">
      <c r="B358" s="20"/>
      <c r="C358" s="21"/>
      <c r="D358" s="21"/>
      <c r="E358" s="22"/>
      <c r="F358" s="22">
        <f t="shared" si="4"/>
        <v>0</v>
      </c>
    </row>
    <row r="359" spans="2:6">
      <c r="B359" s="20"/>
      <c r="C359" s="21"/>
      <c r="D359" s="21"/>
      <c r="E359" s="22"/>
      <c r="F359" s="22">
        <f t="shared" si="4"/>
        <v>0</v>
      </c>
    </row>
    <row r="360" spans="2:6">
      <c r="B360" s="20"/>
      <c r="C360" s="21"/>
      <c r="D360" s="21"/>
      <c r="E360" s="22"/>
      <c r="F360" s="22">
        <f t="shared" si="4"/>
        <v>0</v>
      </c>
    </row>
    <row r="361" spans="2:6">
      <c r="B361" s="20"/>
      <c r="C361" s="21"/>
      <c r="D361" s="21"/>
      <c r="E361" s="22"/>
      <c r="F361" s="22">
        <f t="shared" si="4"/>
        <v>0</v>
      </c>
    </row>
    <row r="362" spans="2:6">
      <c r="B362" s="20"/>
      <c r="C362" s="21"/>
      <c r="D362" s="21"/>
      <c r="E362" s="22"/>
      <c r="F362" s="22">
        <f t="shared" si="4"/>
        <v>0</v>
      </c>
    </row>
    <row r="363" spans="2:6" ht="17" thickBot="1">
      <c r="B363" s="6" t="s">
        <v>19</v>
      </c>
      <c r="C363" s="8"/>
      <c r="D363" s="8"/>
      <c r="E363" s="8"/>
      <c r="F363" s="23">
        <f>SUM(F357:F362)</f>
        <v>0</v>
      </c>
    </row>
    <row r="364" spans="2:6" ht="17" thickBot="1">
      <c r="B364" s="8"/>
      <c r="C364" s="8"/>
      <c r="D364" s="8"/>
      <c r="E364" s="8"/>
    </row>
    <row r="365" spans="2:6" ht="15" thickTop="1" thickBot="1">
      <c r="B365" s="16" t="s">
        <v>20</v>
      </c>
      <c r="C365" s="17" t="s">
        <v>14</v>
      </c>
      <c r="D365" s="17" t="s">
        <v>15</v>
      </c>
      <c r="E365" s="17" t="s">
        <v>16</v>
      </c>
      <c r="F365" s="18" t="s">
        <v>17</v>
      </c>
    </row>
    <row r="366" spans="2:6" ht="17" thickTop="1">
      <c r="B366" s="8"/>
      <c r="C366" s="8"/>
      <c r="D366" s="8"/>
      <c r="E366" s="8"/>
    </row>
    <row r="367" spans="2:6">
      <c r="B367" s="24" t="s">
        <v>21</v>
      </c>
      <c r="C367" s="20" t="s">
        <v>22</v>
      </c>
      <c r="D367" s="20">
        <v>0.08</v>
      </c>
      <c r="E367" s="22">
        <v>27500</v>
      </c>
      <c r="F367" s="25">
        <f>E367*D367</f>
        <v>2200</v>
      </c>
    </row>
    <row r="368" spans="2:6">
      <c r="B368" s="20" t="s">
        <v>23</v>
      </c>
      <c r="C368" s="20" t="s">
        <v>22</v>
      </c>
      <c r="D368" s="20">
        <v>0.08</v>
      </c>
      <c r="E368" s="22">
        <v>15000</v>
      </c>
      <c r="F368" s="25">
        <f>E368*D368</f>
        <v>1200</v>
      </c>
    </row>
    <row r="369" spans="2:6">
      <c r="B369" s="20" t="s">
        <v>23</v>
      </c>
      <c r="C369" s="20" t="s">
        <v>22</v>
      </c>
      <c r="D369" s="20">
        <v>0.08</v>
      </c>
      <c r="E369" s="22">
        <v>15000</v>
      </c>
      <c r="F369" s="25">
        <f>E369*D369</f>
        <v>1200</v>
      </c>
    </row>
    <row r="370" spans="2:6" ht="16">
      <c r="B370" s="26"/>
      <c r="C370" s="26"/>
      <c r="D370" s="26"/>
      <c r="E370" s="26"/>
      <c r="F370" s="25">
        <f>E370*D370</f>
        <v>0</v>
      </c>
    </row>
    <row r="371" spans="2:6" ht="16">
      <c r="B371" s="27" t="s">
        <v>25</v>
      </c>
      <c r="C371" s="27" t="s">
        <v>26</v>
      </c>
      <c r="D371" s="28">
        <v>0.32</v>
      </c>
      <c r="E371" s="29">
        <f>SUM(E367:E370)*D371</f>
        <v>18400</v>
      </c>
      <c r="F371" s="25">
        <f>SUM(F367:F369)*D371</f>
        <v>1472</v>
      </c>
    </row>
    <row r="372" spans="2:6" ht="16">
      <c r="B372" s="8"/>
      <c r="C372" s="8"/>
      <c r="D372" s="8"/>
      <c r="E372" s="8"/>
    </row>
    <row r="373" spans="2:6" ht="17" thickBot="1">
      <c r="B373" s="6" t="s">
        <v>27</v>
      </c>
      <c r="C373" s="8"/>
      <c r="D373" s="8"/>
      <c r="E373" s="8"/>
      <c r="F373" s="23">
        <f>SUM(F367:F372)</f>
        <v>6072</v>
      </c>
    </row>
    <row r="374" spans="2:6" ht="17" thickBot="1">
      <c r="B374" s="8"/>
      <c r="C374" s="8"/>
      <c r="D374" s="8"/>
      <c r="E374" s="8"/>
    </row>
    <row r="375" spans="2:6" ht="15" thickTop="1" thickBot="1">
      <c r="B375" s="16" t="s">
        <v>28</v>
      </c>
      <c r="C375" s="17" t="s">
        <v>14</v>
      </c>
      <c r="D375" s="17" t="s">
        <v>15</v>
      </c>
      <c r="E375" s="17" t="s">
        <v>16</v>
      </c>
      <c r="F375" s="18" t="s">
        <v>17</v>
      </c>
    </row>
    <row r="376" spans="2:6" ht="17" thickTop="1">
      <c r="B376" s="8"/>
      <c r="C376" s="8"/>
      <c r="D376" s="8"/>
      <c r="E376" s="8"/>
    </row>
    <row r="377" spans="2:6">
      <c r="B377" s="20" t="s">
        <v>82</v>
      </c>
      <c r="C377" s="20" t="s">
        <v>30</v>
      </c>
      <c r="D377" s="20">
        <v>0.09</v>
      </c>
      <c r="E377" s="22">
        <v>25000</v>
      </c>
      <c r="F377" s="25">
        <f>E377*D377</f>
        <v>2250</v>
      </c>
    </row>
    <row r="378" spans="2:6">
      <c r="B378" s="20" t="s">
        <v>31</v>
      </c>
      <c r="C378" s="20" t="s">
        <v>32</v>
      </c>
      <c r="D378" s="20">
        <v>0.11</v>
      </c>
      <c r="E378" s="22">
        <v>120000</v>
      </c>
      <c r="F378" s="25">
        <f>E378*D378</f>
        <v>13200</v>
      </c>
    </row>
    <row r="379" spans="2:6">
      <c r="B379" s="20" t="s">
        <v>63</v>
      </c>
      <c r="C379" s="20" t="s">
        <v>30</v>
      </c>
      <c r="D379" s="20">
        <v>0.11</v>
      </c>
      <c r="E379" s="22">
        <v>15000</v>
      </c>
      <c r="F379" s="25">
        <f>E379*D379</f>
        <v>1650</v>
      </c>
    </row>
    <row r="380" spans="2:6" ht="16">
      <c r="B380" s="26"/>
      <c r="C380" s="26"/>
      <c r="D380" s="26"/>
      <c r="E380" s="26"/>
      <c r="F380" s="25">
        <f>E380*D380</f>
        <v>0</v>
      </c>
    </row>
    <row r="381" spans="2:6" ht="16">
      <c r="B381" s="30"/>
      <c r="C381" s="26"/>
      <c r="D381" s="26"/>
      <c r="E381" s="26"/>
      <c r="F381" s="25">
        <f>E381*D381</f>
        <v>0</v>
      </c>
    </row>
    <row r="382" spans="2:6" ht="16">
      <c r="B382" s="8"/>
      <c r="C382" s="8"/>
      <c r="D382" s="8"/>
      <c r="E382" s="8"/>
    </row>
    <row r="383" spans="2:6" ht="14" thickBot="1">
      <c r="B383" s="19" t="s">
        <v>33</v>
      </c>
      <c r="C383" s="19"/>
      <c r="D383" s="19"/>
      <c r="E383" s="19"/>
      <c r="F383" s="23">
        <f>SUM(F377:F382)</f>
        <v>17100</v>
      </c>
    </row>
    <row r="384" spans="2:6" ht="16">
      <c r="B384" s="8"/>
      <c r="C384" s="8"/>
      <c r="D384" s="8"/>
      <c r="E384" s="8"/>
    </row>
    <row r="385" spans="2:6" ht="17" thickBot="1">
      <c r="B385" s="8"/>
      <c r="C385" s="8"/>
      <c r="D385" s="8"/>
      <c r="E385" s="8"/>
    </row>
    <row r="386" spans="2:6" ht="17" thickBot="1">
      <c r="B386" s="31" t="s">
        <v>34</v>
      </c>
      <c r="C386" s="13"/>
      <c r="D386" s="13"/>
      <c r="E386" s="13"/>
      <c r="F386" s="32">
        <f>F363+F373+F383</f>
        <v>23172</v>
      </c>
    </row>
    <row r="387" spans="2:6" ht="17" thickBot="1">
      <c r="B387" s="31" t="s">
        <v>35</v>
      </c>
      <c r="C387" s="13"/>
      <c r="D387" s="13"/>
      <c r="E387" s="33">
        <v>0.1</v>
      </c>
      <c r="F387" s="32">
        <f>F386*E387</f>
        <v>2317.2000000000003</v>
      </c>
    </row>
    <row r="388" spans="2:6" ht="17" thickBot="1">
      <c r="B388" s="31" t="s">
        <v>36</v>
      </c>
      <c r="C388" s="13"/>
      <c r="D388" s="13"/>
      <c r="E388" s="33">
        <f>E331</f>
        <v>0.1</v>
      </c>
      <c r="F388" s="32">
        <f>F386*E388</f>
        <v>2317.2000000000003</v>
      </c>
    </row>
    <row r="389" spans="2:6" ht="17" thickBot="1">
      <c r="B389" s="34" t="s">
        <v>37</v>
      </c>
      <c r="C389" s="35"/>
      <c r="D389" s="35"/>
      <c r="E389" s="35"/>
      <c r="F389" s="32">
        <f>SUM(F386:F388)</f>
        <v>27806.400000000001</v>
      </c>
    </row>
    <row r="390" spans="2:6" ht="17" thickBot="1">
      <c r="B390" s="36"/>
      <c r="C390" s="8"/>
      <c r="D390" s="8"/>
      <c r="E390" s="8"/>
    </row>
    <row r="391" spans="2:6" ht="18" thickTop="1" thickBot="1">
      <c r="B391" s="37" t="s">
        <v>38</v>
      </c>
      <c r="C391" s="8"/>
      <c r="D391" s="8"/>
      <c r="E391" s="8"/>
    </row>
    <row r="392" spans="2:6" ht="18" thickTop="1" thickBot="1">
      <c r="B392" s="8"/>
      <c r="C392" s="8"/>
      <c r="D392" s="8"/>
      <c r="E392" s="8"/>
    </row>
    <row r="393" spans="2:6" ht="17" thickTop="1">
      <c r="B393" s="38"/>
      <c r="C393" s="13"/>
      <c r="D393" s="13"/>
      <c r="E393" s="39"/>
      <c r="F393" s="40"/>
    </row>
    <row r="394" spans="2:6" ht="16">
      <c r="B394" s="38"/>
      <c r="C394" s="13"/>
      <c r="D394" s="13"/>
      <c r="E394" s="41"/>
      <c r="F394" s="42"/>
    </row>
    <row r="395" spans="2:6" ht="16">
      <c r="B395" s="38"/>
      <c r="C395" s="13"/>
      <c r="D395" s="13"/>
      <c r="E395" s="41"/>
      <c r="F395" s="42"/>
    </row>
    <row r="396" spans="2:6" ht="17" thickBot="1">
      <c r="B396" s="54"/>
      <c r="C396" s="35"/>
      <c r="D396" s="35"/>
      <c r="E396" s="44"/>
      <c r="F396" s="45"/>
    </row>
    <row r="397" spans="2:6" ht="14" thickTop="1"/>
    <row r="398" spans="2:6" ht="14" thickBot="1">
      <c r="B398" s="6" t="s">
        <v>0</v>
      </c>
      <c r="C398" s="6"/>
    </row>
    <row r="399" spans="2:6" ht="17" thickBot="1">
      <c r="B399" s="1" t="s">
        <v>1</v>
      </c>
      <c r="C399" s="1"/>
      <c r="E399" s="4" t="s">
        <v>2</v>
      </c>
      <c r="F399" s="5"/>
    </row>
    <row r="400" spans="2:6">
      <c r="B400" s="6"/>
    </row>
    <row r="401" spans="2:6" ht="16">
      <c r="B401" s="7" t="s">
        <v>3</v>
      </c>
      <c r="C401" s="7"/>
      <c r="D401" s="7"/>
      <c r="E401" s="7"/>
      <c r="F401" s="7"/>
    </row>
    <row r="402" spans="2:6" ht="16">
      <c r="B402" s="8"/>
      <c r="C402" s="8"/>
      <c r="D402" s="8"/>
      <c r="E402" s="8"/>
    </row>
    <row r="403" spans="2:6" ht="19" customHeight="1">
      <c r="B403" s="9" t="s">
        <v>4</v>
      </c>
      <c r="C403" s="10" t="str">
        <f>C346</f>
        <v>MEJORAMIENTO ESPACIO PUBLICO JJVV LUCILA GODOY ALCAYAGA</v>
      </c>
      <c r="D403" s="10"/>
      <c r="E403" s="10"/>
      <c r="F403" s="11"/>
    </row>
    <row r="404" spans="2:6" ht="16">
      <c r="B404" s="12"/>
      <c r="C404" s="8"/>
      <c r="D404" s="8"/>
      <c r="E404" s="8"/>
    </row>
    <row r="405" spans="2:6" ht="16">
      <c r="B405" s="9" t="s">
        <v>5</v>
      </c>
      <c r="C405" s="13" t="s">
        <v>6</v>
      </c>
      <c r="D405" s="13"/>
      <c r="E405" s="13"/>
      <c r="F405" s="14"/>
    </row>
    <row r="406" spans="2:6" ht="16">
      <c r="B406" s="9"/>
      <c r="C406" s="13"/>
      <c r="D406" s="13"/>
      <c r="E406" s="13"/>
      <c r="F406" s="14"/>
    </row>
    <row r="407" spans="2:6" ht="16">
      <c r="B407" s="9" t="s">
        <v>7</v>
      </c>
      <c r="C407" s="13" t="s">
        <v>83</v>
      </c>
      <c r="D407" s="13"/>
      <c r="E407" s="13"/>
      <c r="F407" s="14"/>
    </row>
    <row r="408" spans="2:6" ht="16">
      <c r="B408" s="9" t="s">
        <v>8</v>
      </c>
      <c r="C408" s="13" t="s">
        <v>84</v>
      </c>
      <c r="D408" s="13"/>
      <c r="E408" s="13"/>
      <c r="F408" s="14"/>
    </row>
    <row r="409" spans="2:6" ht="16">
      <c r="B409" s="9" t="s">
        <v>10</v>
      </c>
      <c r="C409" s="13" t="s">
        <v>32</v>
      </c>
      <c r="D409" s="13"/>
      <c r="E409" s="13"/>
      <c r="F409" s="14"/>
    </row>
    <row r="410" spans="2:6" ht="16">
      <c r="B410" s="9" t="s">
        <v>12</v>
      </c>
      <c r="C410" s="15">
        <f>C353</f>
        <v>46024</v>
      </c>
      <c r="D410" s="13"/>
      <c r="E410" s="13"/>
      <c r="F410" s="14"/>
    </row>
    <row r="411" spans="2:6" ht="17" thickBot="1">
      <c r="B411" s="8"/>
      <c r="C411" s="8"/>
      <c r="D411" s="8"/>
      <c r="E411" s="8"/>
    </row>
    <row r="412" spans="2:6" ht="15" thickTop="1" thickBot="1">
      <c r="B412" s="16" t="s">
        <v>13</v>
      </c>
      <c r="C412" s="17" t="s">
        <v>14</v>
      </c>
      <c r="D412" s="17" t="s">
        <v>15</v>
      </c>
      <c r="E412" s="17" t="s">
        <v>16</v>
      </c>
      <c r="F412" s="18" t="s">
        <v>17</v>
      </c>
    </row>
    <row r="413" spans="2:6" ht="14" thickTop="1">
      <c r="B413" s="19"/>
      <c r="C413" s="19"/>
      <c r="D413" s="19"/>
      <c r="E413" s="19"/>
      <c r="F413" s="19"/>
    </row>
    <row r="414" spans="2:6">
      <c r="B414" s="20"/>
      <c r="C414" s="21"/>
      <c r="D414" s="21"/>
      <c r="E414" s="22"/>
      <c r="F414" s="22">
        <f t="shared" ref="F414:F419" si="5">E414*D414</f>
        <v>0</v>
      </c>
    </row>
    <row r="415" spans="2:6">
      <c r="B415" s="20"/>
      <c r="C415" s="21"/>
      <c r="D415" s="21"/>
      <c r="E415" s="22"/>
      <c r="F415" s="22">
        <f t="shared" si="5"/>
        <v>0</v>
      </c>
    </row>
    <row r="416" spans="2:6">
      <c r="B416" s="20"/>
      <c r="C416" s="21"/>
      <c r="D416" s="21"/>
      <c r="E416" s="22"/>
      <c r="F416" s="22">
        <f t="shared" si="5"/>
        <v>0</v>
      </c>
    </row>
    <row r="417" spans="2:6">
      <c r="B417" s="20"/>
      <c r="C417" s="21"/>
      <c r="D417" s="21"/>
      <c r="E417" s="22"/>
      <c r="F417" s="22">
        <f t="shared" si="5"/>
        <v>0</v>
      </c>
    </row>
    <row r="418" spans="2:6">
      <c r="B418" s="20"/>
      <c r="C418" s="21"/>
      <c r="D418" s="21"/>
      <c r="E418" s="22"/>
      <c r="F418" s="22">
        <f t="shared" si="5"/>
        <v>0</v>
      </c>
    </row>
    <row r="419" spans="2:6">
      <c r="B419" s="20"/>
      <c r="C419" s="21"/>
      <c r="D419" s="21"/>
      <c r="E419" s="22"/>
      <c r="F419" s="22">
        <f t="shared" si="5"/>
        <v>0</v>
      </c>
    </row>
    <row r="420" spans="2:6" ht="17" thickBot="1">
      <c r="B420" s="6" t="s">
        <v>19</v>
      </c>
      <c r="C420" s="8"/>
      <c r="D420" s="8"/>
      <c r="E420" s="8"/>
      <c r="F420" s="23">
        <f>SUM(F414:F419)</f>
        <v>0</v>
      </c>
    </row>
    <row r="421" spans="2:6" ht="17" thickBot="1">
      <c r="B421" s="8"/>
      <c r="C421" s="8"/>
      <c r="D421" s="8"/>
      <c r="E421" s="8"/>
    </row>
    <row r="422" spans="2:6" ht="15" thickTop="1" thickBot="1">
      <c r="B422" s="16" t="s">
        <v>20</v>
      </c>
      <c r="C422" s="17" t="s">
        <v>14</v>
      </c>
      <c r="D422" s="17" t="s">
        <v>15</v>
      </c>
      <c r="E422" s="17" t="s">
        <v>16</v>
      </c>
      <c r="F422" s="18" t="s">
        <v>17</v>
      </c>
    </row>
    <row r="423" spans="2:6" ht="17" thickTop="1">
      <c r="B423" s="8"/>
      <c r="C423" s="8"/>
      <c r="D423" s="8"/>
      <c r="E423" s="8"/>
    </row>
    <row r="424" spans="2:6">
      <c r="B424" s="24" t="s">
        <v>21</v>
      </c>
      <c r="C424" s="20" t="s">
        <v>22</v>
      </c>
      <c r="D424" s="20">
        <v>8</v>
      </c>
      <c r="E424" s="22">
        <v>27500</v>
      </c>
      <c r="F424" s="25">
        <f>E424*D424</f>
        <v>220000</v>
      </c>
    </row>
    <row r="425" spans="2:6">
      <c r="B425" s="20" t="s">
        <v>23</v>
      </c>
      <c r="C425" s="20" t="s">
        <v>22</v>
      </c>
      <c r="D425" s="20">
        <v>8</v>
      </c>
      <c r="E425" s="22">
        <v>15000</v>
      </c>
      <c r="F425" s="25">
        <f>E425*D425</f>
        <v>120000</v>
      </c>
    </row>
    <row r="426" spans="2:6">
      <c r="B426" s="20" t="s">
        <v>23</v>
      </c>
      <c r="C426" s="20" t="s">
        <v>22</v>
      </c>
      <c r="D426" s="20">
        <v>8</v>
      </c>
      <c r="E426" s="22">
        <v>15000</v>
      </c>
      <c r="F426" s="25">
        <f>E426*D426</f>
        <v>120000</v>
      </c>
    </row>
    <row r="427" spans="2:6" ht="16">
      <c r="B427" s="26"/>
      <c r="C427" s="26"/>
      <c r="D427" s="26"/>
      <c r="E427" s="26"/>
      <c r="F427" s="25">
        <f>E427*D427</f>
        <v>0</v>
      </c>
    </row>
    <row r="428" spans="2:6" ht="16">
      <c r="B428" s="27" t="s">
        <v>25</v>
      </c>
      <c r="C428" s="27" t="s">
        <v>26</v>
      </c>
      <c r="D428" s="28">
        <v>0.32</v>
      </c>
      <c r="E428" s="29">
        <f>SUM(E424:E427)*D428</f>
        <v>18400</v>
      </c>
      <c r="F428" s="25">
        <f>E428*D428</f>
        <v>5888</v>
      </c>
    </row>
    <row r="429" spans="2:6" ht="16">
      <c r="B429" s="8"/>
      <c r="C429" s="8"/>
      <c r="D429" s="8"/>
      <c r="E429" s="8"/>
    </row>
    <row r="430" spans="2:6" ht="17" thickBot="1">
      <c r="B430" s="6" t="s">
        <v>27</v>
      </c>
      <c r="C430" s="8"/>
      <c r="D430" s="8"/>
      <c r="E430" s="8"/>
      <c r="F430" s="23">
        <f>SUM(F424:F429)</f>
        <v>465888</v>
      </c>
    </row>
    <row r="431" spans="2:6" ht="17" thickBot="1">
      <c r="B431" s="8"/>
      <c r="C431" s="8"/>
      <c r="D431" s="8"/>
      <c r="E431" s="8"/>
    </row>
    <row r="432" spans="2:6" ht="15" thickTop="1" thickBot="1">
      <c r="B432" s="16" t="s">
        <v>28</v>
      </c>
      <c r="C432" s="17" t="s">
        <v>14</v>
      </c>
      <c r="D432" s="17" t="s">
        <v>15</v>
      </c>
      <c r="E432" s="17" t="s">
        <v>16</v>
      </c>
      <c r="F432" s="18" t="s">
        <v>17</v>
      </c>
    </row>
    <row r="433" spans="2:6" ht="17" thickTop="1">
      <c r="B433" s="8"/>
      <c r="C433" s="8"/>
      <c r="D433" s="8"/>
      <c r="E433" s="8"/>
    </row>
    <row r="434" spans="2:6">
      <c r="B434" s="20" t="s">
        <v>82</v>
      </c>
      <c r="C434" s="20" t="s">
        <v>30</v>
      </c>
      <c r="D434" s="20">
        <v>12</v>
      </c>
      <c r="E434" s="22">
        <v>25000</v>
      </c>
      <c r="F434" s="25">
        <f>E434*D434</f>
        <v>300000</v>
      </c>
    </row>
    <row r="435" spans="2:6">
      <c r="B435" s="20" t="s">
        <v>31</v>
      </c>
      <c r="C435" s="20" t="s">
        <v>32</v>
      </c>
      <c r="D435" s="55">
        <v>1</v>
      </c>
      <c r="E435" s="22">
        <v>120000</v>
      </c>
      <c r="F435" s="25">
        <f>E435*D435</f>
        <v>120000</v>
      </c>
    </row>
    <row r="436" spans="2:6" ht="16">
      <c r="B436" s="26"/>
      <c r="C436" s="26"/>
      <c r="D436" s="26"/>
      <c r="E436" s="26"/>
      <c r="F436" s="25">
        <f>E436*D436</f>
        <v>0</v>
      </c>
    </row>
    <row r="437" spans="2:6" ht="16">
      <c r="B437" s="26"/>
      <c r="C437" s="26"/>
      <c r="D437" s="26"/>
      <c r="E437" s="26"/>
      <c r="F437" s="25">
        <f>E437*D437</f>
        <v>0</v>
      </c>
    </row>
    <row r="438" spans="2:6" ht="16">
      <c r="B438" s="30"/>
      <c r="C438" s="26"/>
      <c r="D438" s="26"/>
      <c r="E438" s="26"/>
      <c r="F438" s="25">
        <f>E438*D438</f>
        <v>0</v>
      </c>
    </row>
    <row r="439" spans="2:6" ht="16">
      <c r="B439" s="8"/>
      <c r="C439" s="8"/>
      <c r="D439" s="8"/>
      <c r="E439" s="8"/>
    </row>
    <row r="440" spans="2:6" ht="14" thickBot="1">
      <c r="B440" s="19" t="s">
        <v>33</v>
      </c>
      <c r="C440" s="19"/>
      <c r="D440" s="19"/>
      <c r="E440" s="19"/>
      <c r="F440" s="23">
        <f>SUM(F434:F439)</f>
        <v>420000</v>
      </c>
    </row>
    <row r="441" spans="2:6" ht="16">
      <c r="B441" s="8"/>
      <c r="C441" s="8"/>
      <c r="D441" s="8"/>
      <c r="E441" s="8"/>
    </row>
    <row r="442" spans="2:6" ht="17" thickBot="1">
      <c r="B442" s="8"/>
      <c r="C442" s="8"/>
      <c r="D442" s="8"/>
      <c r="E442" s="8"/>
    </row>
    <row r="443" spans="2:6" ht="17" thickBot="1">
      <c r="B443" s="31" t="s">
        <v>34</v>
      </c>
      <c r="C443" s="13"/>
      <c r="D443" s="13"/>
      <c r="E443" s="13"/>
      <c r="F443" s="32">
        <f>F420+F430+F440</f>
        <v>885888</v>
      </c>
    </row>
    <row r="444" spans="2:6" ht="17" thickBot="1">
      <c r="B444" s="31" t="s">
        <v>35</v>
      </c>
      <c r="C444" s="13"/>
      <c r="D444" s="13"/>
      <c r="E444" s="33">
        <v>0.1</v>
      </c>
      <c r="F444" s="32">
        <f>F443*E444</f>
        <v>88588.800000000003</v>
      </c>
    </row>
    <row r="445" spans="2:6" ht="17" thickBot="1">
      <c r="B445" s="31" t="s">
        <v>36</v>
      </c>
      <c r="C445" s="13"/>
      <c r="D445" s="13"/>
      <c r="E445" s="33">
        <f>E388</f>
        <v>0.1</v>
      </c>
      <c r="F445" s="32">
        <f>F443*E445</f>
        <v>88588.800000000003</v>
      </c>
    </row>
    <row r="446" spans="2:6" ht="17" thickBot="1">
      <c r="B446" s="34" t="s">
        <v>37</v>
      </c>
      <c r="C446" s="35"/>
      <c r="D446" s="35"/>
      <c r="E446" s="35"/>
      <c r="F446" s="32">
        <f>SUM(F443:F445)</f>
        <v>1063065.6000000001</v>
      </c>
    </row>
    <row r="447" spans="2:6" ht="17" thickBot="1">
      <c r="B447" s="36"/>
      <c r="C447" s="8"/>
      <c r="D447" s="8"/>
      <c r="E447" s="8"/>
    </row>
    <row r="448" spans="2:6" ht="18" thickTop="1" thickBot="1">
      <c r="B448" s="37" t="s">
        <v>38</v>
      </c>
      <c r="C448" s="8"/>
      <c r="D448" s="8"/>
      <c r="E448" s="8"/>
    </row>
    <row r="449" spans="2:6" ht="18" thickTop="1" thickBot="1">
      <c r="B449" s="8"/>
      <c r="C449" s="8"/>
      <c r="D449" s="8"/>
      <c r="E449" s="8"/>
    </row>
    <row r="450" spans="2:6" ht="17" thickTop="1">
      <c r="B450" s="38"/>
      <c r="C450" s="13"/>
      <c r="D450" s="13"/>
      <c r="E450" s="39"/>
      <c r="F450" s="40"/>
    </row>
    <row r="451" spans="2:6" ht="16">
      <c r="B451" s="38"/>
      <c r="C451" s="13"/>
      <c r="D451" s="13"/>
      <c r="E451" s="41"/>
      <c r="F451" s="42"/>
    </row>
    <row r="452" spans="2:6" ht="16">
      <c r="B452" s="38"/>
      <c r="C452" s="13"/>
      <c r="D452" s="13"/>
      <c r="E452" s="41"/>
      <c r="F452" s="42"/>
    </row>
    <row r="453" spans="2:6" ht="17" thickBot="1">
      <c r="B453" s="54"/>
      <c r="C453" s="35"/>
      <c r="D453" s="35"/>
      <c r="E453" s="44"/>
      <c r="F453" s="45"/>
    </row>
    <row r="454" spans="2:6" ht="14" thickTop="1"/>
    <row r="455" spans="2:6" ht="14" thickBot="1">
      <c r="B455" s="1" t="s">
        <v>0</v>
      </c>
      <c r="C455" s="1"/>
    </row>
    <row r="456" spans="2:6" ht="17" thickBot="1">
      <c r="B456" s="1" t="s">
        <v>1</v>
      </c>
      <c r="C456" s="1"/>
      <c r="E456" s="4" t="s">
        <v>2</v>
      </c>
      <c r="F456" s="5"/>
    </row>
    <row r="457" spans="2:6">
      <c r="B457" s="6"/>
    </row>
    <row r="458" spans="2:6" ht="16">
      <c r="B458" s="7" t="s">
        <v>3</v>
      </c>
      <c r="C458" s="7"/>
      <c r="D458" s="7"/>
      <c r="E458" s="7"/>
      <c r="F458" s="7"/>
    </row>
    <row r="459" spans="2:6" ht="16">
      <c r="B459" s="8"/>
      <c r="C459" s="8"/>
      <c r="D459" s="8"/>
      <c r="E459" s="8"/>
    </row>
    <row r="460" spans="2:6" ht="19" customHeight="1">
      <c r="B460" s="9" t="s">
        <v>4</v>
      </c>
      <c r="C460" s="10" t="str">
        <f>C403</f>
        <v>MEJORAMIENTO ESPACIO PUBLICO JJVV LUCILA GODOY ALCAYAGA</v>
      </c>
      <c r="D460" s="10"/>
      <c r="E460" s="10"/>
      <c r="F460" s="11"/>
    </row>
    <row r="461" spans="2:6" ht="16">
      <c r="B461" s="12"/>
      <c r="C461" s="8"/>
      <c r="D461" s="8"/>
      <c r="E461" s="8"/>
    </row>
    <row r="462" spans="2:6" ht="16">
      <c r="B462" s="9" t="s">
        <v>5</v>
      </c>
      <c r="C462" s="13" t="s">
        <v>6</v>
      </c>
      <c r="D462" s="13"/>
      <c r="E462" s="13"/>
      <c r="F462" s="14"/>
    </row>
    <row r="463" spans="2:6" ht="16">
      <c r="B463" s="9"/>
      <c r="C463" s="13"/>
      <c r="D463" s="13"/>
      <c r="E463" s="13"/>
      <c r="F463" s="14"/>
    </row>
    <row r="464" spans="2:6" ht="16">
      <c r="B464" s="9" t="s">
        <v>7</v>
      </c>
      <c r="C464" s="13" t="s">
        <v>85</v>
      </c>
      <c r="D464" s="13"/>
      <c r="E464" s="13"/>
      <c r="F464" s="14"/>
    </row>
    <row r="465" spans="2:6" ht="16">
      <c r="B465" s="9" t="s">
        <v>8</v>
      </c>
      <c r="C465" s="13" t="s">
        <v>86</v>
      </c>
      <c r="D465" s="13"/>
      <c r="E465" s="13"/>
      <c r="F465" s="14"/>
    </row>
    <row r="466" spans="2:6" ht="16">
      <c r="B466" s="9" t="s">
        <v>10</v>
      </c>
      <c r="C466" s="13" t="s">
        <v>87</v>
      </c>
      <c r="D466" s="13"/>
      <c r="E466" s="13"/>
      <c r="F466" s="14"/>
    </row>
    <row r="467" spans="2:6" ht="16">
      <c r="B467" s="9" t="s">
        <v>12</v>
      </c>
      <c r="C467" s="15">
        <f>C410</f>
        <v>46024</v>
      </c>
      <c r="D467" s="13"/>
      <c r="E467" s="13"/>
      <c r="F467" s="14"/>
    </row>
    <row r="468" spans="2:6" ht="17" thickBot="1">
      <c r="B468" s="8"/>
      <c r="C468" s="8"/>
      <c r="D468" s="8"/>
      <c r="E468" s="8"/>
    </row>
    <row r="469" spans="2:6" ht="15" thickTop="1" thickBot="1">
      <c r="B469" s="16" t="s">
        <v>13</v>
      </c>
      <c r="C469" s="17" t="s">
        <v>14</v>
      </c>
      <c r="D469" s="17" t="s">
        <v>15</v>
      </c>
      <c r="E469" s="17" t="s">
        <v>16</v>
      </c>
      <c r="F469" s="18" t="s">
        <v>17</v>
      </c>
    </row>
    <row r="470" spans="2:6" ht="14" thickTop="1">
      <c r="B470" s="19"/>
      <c r="C470" s="19"/>
      <c r="D470" s="19"/>
      <c r="E470" s="19"/>
      <c r="F470" s="19"/>
    </row>
    <row r="471" spans="2:6">
      <c r="B471" s="20"/>
      <c r="C471" s="21"/>
      <c r="D471" s="21"/>
      <c r="E471" s="22"/>
      <c r="F471" s="22">
        <f t="shared" ref="F471:F476" si="6">E471*D471</f>
        <v>0</v>
      </c>
    </row>
    <row r="472" spans="2:6">
      <c r="B472" s="20"/>
      <c r="C472" s="21"/>
      <c r="D472" s="21"/>
      <c r="E472" s="22"/>
      <c r="F472" s="22">
        <f t="shared" si="6"/>
        <v>0</v>
      </c>
    </row>
    <row r="473" spans="2:6">
      <c r="B473" s="20"/>
      <c r="C473" s="21"/>
      <c r="D473" s="21"/>
      <c r="E473" s="22"/>
      <c r="F473" s="22">
        <f t="shared" si="6"/>
        <v>0</v>
      </c>
    </row>
    <row r="474" spans="2:6">
      <c r="B474" s="20"/>
      <c r="C474" s="21"/>
      <c r="D474" s="21"/>
      <c r="E474" s="22"/>
      <c r="F474" s="22">
        <f t="shared" si="6"/>
        <v>0</v>
      </c>
    </row>
    <row r="475" spans="2:6">
      <c r="B475" s="20"/>
      <c r="C475" s="21"/>
      <c r="D475" s="21"/>
      <c r="E475" s="22"/>
      <c r="F475" s="22">
        <f t="shared" si="6"/>
        <v>0</v>
      </c>
    </row>
    <row r="476" spans="2:6">
      <c r="B476" s="20"/>
      <c r="C476" s="21"/>
      <c r="D476" s="21"/>
      <c r="E476" s="22"/>
      <c r="F476" s="22">
        <f t="shared" si="6"/>
        <v>0</v>
      </c>
    </row>
    <row r="477" spans="2:6" ht="17" thickBot="1">
      <c r="B477" s="6" t="s">
        <v>19</v>
      </c>
      <c r="C477" s="8"/>
      <c r="D477" s="8"/>
      <c r="E477" s="8"/>
      <c r="F477" s="23">
        <f>SUM(F471:F476)</f>
        <v>0</v>
      </c>
    </row>
    <row r="478" spans="2:6" ht="17" thickBot="1">
      <c r="B478" s="8"/>
      <c r="C478" s="8"/>
      <c r="D478" s="8"/>
      <c r="E478" s="8"/>
    </row>
    <row r="479" spans="2:6" ht="15" thickTop="1" thickBot="1">
      <c r="B479" s="16" t="s">
        <v>20</v>
      </c>
      <c r="C479" s="17" t="s">
        <v>14</v>
      </c>
      <c r="D479" s="17" t="s">
        <v>15</v>
      </c>
      <c r="E479" s="17" t="s">
        <v>16</v>
      </c>
      <c r="F479" s="18" t="s">
        <v>17</v>
      </c>
    </row>
    <row r="480" spans="2:6" ht="17" thickTop="1">
      <c r="B480" s="8"/>
      <c r="C480" s="8"/>
      <c r="D480" s="8"/>
      <c r="E480" s="8"/>
    </row>
    <row r="481" spans="2:6">
      <c r="B481" s="24" t="s">
        <v>21</v>
      </c>
      <c r="C481" s="20" t="s">
        <v>22</v>
      </c>
      <c r="D481" s="20">
        <v>0.01</v>
      </c>
      <c r="E481" s="22">
        <v>27500</v>
      </c>
      <c r="F481" s="25">
        <f>E481*D481</f>
        <v>275</v>
      </c>
    </row>
    <row r="482" spans="2:6">
      <c r="B482" s="20" t="s">
        <v>23</v>
      </c>
      <c r="C482" s="20" t="s">
        <v>22</v>
      </c>
      <c r="D482" s="20">
        <v>0.01</v>
      </c>
      <c r="E482" s="22">
        <v>15000</v>
      </c>
      <c r="F482" s="25">
        <f>E482*D482</f>
        <v>150</v>
      </c>
    </row>
    <row r="483" spans="2:6">
      <c r="B483" s="20"/>
      <c r="C483" s="20"/>
      <c r="D483" s="20"/>
      <c r="E483" s="22"/>
      <c r="F483" s="25">
        <f>E483*D483</f>
        <v>0</v>
      </c>
    </row>
    <row r="484" spans="2:6" ht="16">
      <c r="B484" s="56"/>
      <c r="C484" s="56"/>
      <c r="D484" s="56"/>
      <c r="E484" s="56"/>
      <c r="F484" s="25">
        <f>E484*D484</f>
        <v>0</v>
      </c>
    </row>
    <row r="485" spans="2:6" ht="16">
      <c r="B485" s="57" t="s">
        <v>25</v>
      </c>
      <c r="C485" s="57" t="s">
        <v>26</v>
      </c>
      <c r="D485" s="58">
        <v>0.32</v>
      </c>
      <c r="E485" s="59">
        <f>SUM(E481:E484)*D485</f>
        <v>13600</v>
      </c>
      <c r="F485" s="25">
        <f>E485*D485</f>
        <v>4352</v>
      </c>
    </row>
    <row r="486" spans="2:6" ht="16">
      <c r="B486" s="60"/>
      <c r="C486" s="60"/>
      <c r="D486" s="60"/>
      <c r="E486" s="60"/>
      <c r="F486" s="61"/>
    </row>
    <row r="487" spans="2:6" ht="17" thickBot="1">
      <c r="B487" s="62" t="s">
        <v>27</v>
      </c>
      <c r="C487" s="60"/>
      <c r="D487" s="60"/>
      <c r="E487" s="60"/>
      <c r="F487" s="23">
        <f>SUM(F481:F486)</f>
        <v>4777</v>
      </c>
    </row>
    <row r="488" spans="2:6" ht="17" thickBot="1">
      <c r="B488" s="60"/>
      <c r="C488" s="60"/>
      <c r="D488" s="60"/>
      <c r="E488" s="60"/>
      <c r="F488" s="61"/>
    </row>
    <row r="489" spans="2:6" ht="15" thickTop="1" thickBot="1">
      <c r="B489" s="63" t="s">
        <v>28</v>
      </c>
      <c r="C489" s="64" t="s">
        <v>14</v>
      </c>
      <c r="D489" s="64" t="s">
        <v>15</v>
      </c>
      <c r="E489" s="64" t="s">
        <v>16</v>
      </c>
      <c r="F489" s="65" t="s">
        <v>17</v>
      </c>
    </row>
    <row r="490" spans="2:6" ht="17" thickTop="1">
      <c r="B490" s="60"/>
      <c r="C490" s="60"/>
      <c r="D490" s="60"/>
      <c r="E490" s="60"/>
      <c r="F490" s="61"/>
    </row>
    <row r="491" spans="2:6">
      <c r="B491" s="20" t="s">
        <v>63</v>
      </c>
      <c r="C491" s="20" t="s">
        <v>30</v>
      </c>
      <c r="D491" s="20">
        <v>0.3</v>
      </c>
      <c r="E491" s="22">
        <v>15000</v>
      </c>
      <c r="F491" s="25">
        <f>E491*D491</f>
        <v>4500</v>
      </c>
    </row>
    <row r="492" spans="2:6">
      <c r="B492" s="20" t="s">
        <v>64</v>
      </c>
      <c r="C492" s="20" t="s">
        <v>30</v>
      </c>
      <c r="D492" s="20">
        <v>0.34</v>
      </c>
      <c r="E492" s="22">
        <v>45000</v>
      </c>
      <c r="F492" s="25">
        <f>E492*D492</f>
        <v>15300.000000000002</v>
      </c>
    </row>
    <row r="493" spans="2:6">
      <c r="B493" s="20" t="s">
        <v>65</v>
      </c>
      <c r="C493" s="20" t="s">
        <v>88</v>
      </c>
      <c r="D493" s="20">
        <v>0.3</v>
      </c>
      <c r="E493" s="22">
        <v>65000</v>
      </c>
      <c r="F493" s="25">
        <f>E493*D493</f>
        <v>19500</v>
      </c>
    </row>
    <row r="494" spans="2:6" ht="16">
      <c r="B494" s="56"/>
      <c r="C494" s="56"/>
      <c r="D494" s="56"/>
      <c r="E494" s="56"/>
      <c r="F494" s="25">
        <f>E494*D494</f>
        <v>0</v>
      </c>
    </row>
    <row r="495" spans="2:6" ht="16">
      <c r="B495" s="66"/>
      <c r="C495" s="56"/>
      <c r="D495" s="56"/>
      <c r="E495" s="56"/>
      <c r="F495" s="25">
        <f>E495*D495</f>
        <v>0</v>
      </c>
    </row>
    <row r="496" spans="2:6" ht="16">
      <c r="B496" s="60"/>
      <c r="C496" s="60"/>
      <c r="D496" s="60"/>
      <c r="E496" s="60"/>
      <c r="F496" s="61"/>
    </row>
    <row r="497" spans="2:7" ht="14" thickBot="1">
      <c r="B497" s="67" t="s">
        <v>33</v>
      </c>
      <c r="C497" s="67"/>
      <c r="D497" s="67"/>
      <c r="E497" s="67"/>
      <c r="F497" s="23">
        <f>SUM(F491:F496)</f>
        <v>39300</v>
      </c>
    </row>
    <row r="498" spans="2:7" ht="16">
      <c r="B498" s="8"/>
      <c r="C498" s="8"/>
      <c r="D498" s="8"/>
      <c r="E498" s="8"/>
    </row>
    <row r="499" spans="2:7" ht="17" thickBot="1">
      <c r="B499" s="8"/>
      <c r="C499" s="8"/>
      <c r="D499" s="8"/>
      <c r="E499" s="8"/>
    </row>
    <row r="500" spans="2:7" ht="17" thickBot="1">
      <c r="B500" s="31" t="s">
        <v>34</v>
      </c>
      <c r="C500" s="13"/>
      <c r="D500" s="13"/>
      <c r="E500" s="13"/>
      <c r="F500" s="32">
        <f>F477+F487+F497</f>
        <v>44077</v>
      </c>
    </row>
    <row r="501" spans="2:7" ht="17" thickBot="1">
      <c r="B501" s="31" t="s">
        <v>35</v>
      </c>
      <c r="C501" s="13"/>
      <c r="D501" s="13"/>
      <c r="E501" s="33">
        <f>E160</f>
        <v>0.1</v>
      </c>
      <c r="F501" s="32">
        <f>F500*E501</f>
        <v>4407.7</v>
      </c>
    </row>
    <row r="502" spans="2:7" ht="17" thickBot="1">
      <c r="B502" s="31" t="s">
        <v>36</v>
      </c>
      <c r="C502" s="13"/>
      <c r="D502" s="13"/>
      <c r="E502" s="33">
        <f>E161</f>
        <v>0.1</v>
      </c>
      <c r="F502" s="32">
        <f>F500*E502</f>
        <v>4407.7</v>
      </c>
    </row>
    <row r="503" spans="2:7" ht="17" thickBot="1">
      <c r="B503" s="34" t="s">
        <v>37</v>
      </c>
      <c r="C503" s="35"/>
      <c r="D503" s="35"/>
      <c r="E503" s="35"/>
      <c r="F503" s="32">
        <f>SUM(F500:F502)</f>
        <v>52892.399999999994</v>
      </c>
    </row>
    <row r="504" spans="2:7" ht="17" thickBot="1">
      <c r="B504" s="36"/>
      <c r="C504" s="8"/>
      <c r="D504" s="8"/>
      <c r="E504" s="8"/>
    </row>
    <row r="505" spans="2:7" ht="18" thickTop="1" thickBot="1">
      <c r="B505" s="37" t="s">
        <v>38</v>
      </c>
      <c r="C505" s="8"/>
      <c r="D505" s="8"/>
      <c r="E505" s="8"/>
    </row>
    <row r="506" spans="2:7" ht="18" thickTop="1" thickBot="1">
      <c r="B506" s="8"/>
      <c r="C506" s="8"/>
      <c r="D506" s="8"/>
      <c r="E506" s="8"/>
    </row>
    <row r="507" spans="2:7" ht="17" thickTop="1">
      <c r="B507" s="38"/>
      <c r="C507" s="13"/>
      <c r="D507" s="13"/>
      <c r="E507" s="39"/>
      <c r="F507" s="40"/>
    </row>
    <row r="508" spans="2:7" ht="16">
      <c r="B508" s="38"/>
      <c r="C508" s="13"/>
      <c r="D508" s="13"/>
      <c r="E508" s="41"/>
      <c r="F508" s="42"/>
    </row>
    <row r="509" spans="2:7" ht="16">
      <c r="B509" s="38"/>
      <c r="C509" s="13"/>
      <c r="D509" s="13"/>
      <c r="E509" s="41"/>
      <c r="F509" s="42"/>
    </row>
    <row r="510" spans="2:7" ht="17" thickBot="1">
      <c r="B510" s="54"/>
      <c r="C510" s="35"/>
      <c r="D510" s="35"/>
      <c r="E510" s="44"/>
      <c r="F510" s="45"/>
    </row>
    <row r="511" spans="2:7" ht="17" thickTop="1">
      <c r="B511" s="46"/>
      <c r="C511" s="46"/>
      <c r="D511" s="46"/>
      <c r="E511" s="47"/>
      <c r="F511" s="47"/>
      <c r="G511" s="8"/>
    </row>
    <row r="512" spans="2:7" ht="16">
      <c r="B512" s="46"/>
      <c r="C512" s="46"/>
      <c r="D512" s="46"/>
      <c r="E512" s="47"/>
      <c r="F512" s="47"/>
    </row>
    <row r="513" spans="2:6" ht="14" thickBot="1">
      <c r="B513" s="1" t="s">
        <v>0</v>
      </c>
      <c r="C513" s="1"/>
    </row>
    <row r="514" spans="2:6" ht="17" thickBot="1">
      <c r="B514" s="1" t="s">
        <v>1</v>
      </c>
      <c r="C514" s="1"/>
      <c r="E514" s="4" t="s">
        <v>2</v>
      </c>
      <c r="F514" s="5"/>
    </row>
    <row r="515" spans="2:6">
      <c r="B515" s="6"/>
    </row>
    <row r="516" spans="2:6" ht="16">
      <c r="B516" s="7" t="s">
        <v>3</v>
      </c>
      <c r="C516" s="7"/>
      <c r="D516" s="7"/>
      <c r="E516" s="7"/>
      <c r="F516" s="7"/>
    </row>
    <row r="517" spans="2:6" ht="16">
      <c r="B517" s="8"/>
      <c r="C517" s="8"/>
      <c r="D517" s="8"/>
      <c r="E517" s="8"/>
    </row>
    <row r="518" spans="2:6" ht="20" customHeight="1">
      <c r="B518" s="9" t="s">
        <v>4</v>
      </c>
      <c r="C518" s="10" t="str">
        <f>C460</f>
        <v>MEJORAMIENTO ESPACIO PUBLICO JJVV LUCILA GODOY ALCAYAGA</v>
      </c>
      <c r="D518" s="10"/>
      <c r="E518" s="10"/>
      <c r="F518" s="11"/>
    </row>
    <row r="519" spans="2:6" ht="16">
      <c r="B519" s="12"/>
      <c r="C519" s="8"/>
      <c r="D519" s="8"/>
      <c r="E519" s="8"/>
    </row>
    <row r="520" spans="2:6" ht="16">
      <c r="B520" s="9" t="s">
        <v>5</v>
      </c>
      <c r="C520" s="13" t="s">
        <v>6</v>
      </c>
      <c r="D520" s="13"/>
      <c r="E520" s="13"/>
      <c r="F520" s="14"/>
    </row>
    <row r="521" spans="2:6" ht="16">
      <c r="B521" s="9"/>
      <c r="C521" s="13"/>
      <c r="D521" s="13"/>
      <c r="E521" s="13"/>
      <c r="F521" s="14"/>
    </row>
    <row r="522" spans="2:6" ht="16">
      <c r="B522" s="9" t="s">
        <v>7</v>
      </c>
      <c r="C522" s="13" t="str">
        <f>[1]LGA!A23</f>
        <v>2.1.1</v>
      </c>
      <c r="D522" s="13"/>
      <c r="E522" s="13"/>
      <c r="F522" s="14"/>
    </row>
    <row r="523" spans="2:6" ht="16">
      <c r="B523" s="9" t="s">
        <v>8</v>
      </c>
      <c r="C523" s="13" t="s">
        <v>89</v>
      </c>
      <c r="D523" s="13"/>
      <c r="E523" s="13"/>
      <c r="F523" s="14"/>
    </row>
    <row r="524" spans="2:6" ht="16">
      <c r="B524" s="9" t="s">
        <v>10</v>
      </c>
      <c r="C524" s="13" t="str">
        <f>'[3]PRESUPUESTO OFICIAL'!D20</f>
        <v>m3</v>
      </c>
      <c r="D524" s="13"/>
      <c r="E524" s="13"/>
      <c r="F524" s="14"/>
    </row>
    <row r="525" spans="2:6" ht="16">
      <c r="B525" s="9" t="s">
        <v>12</v>
      </c>
      <c r="C525" s="15">
        <f>C467</f>
        <v>46024</v>
      </c>
      <c r="D525" s="13"/>
      <c r="E525" s="13"/>
      <c r="F525" s="14"/>
    </row>
    <row r="526" spans="2:6" ht="17" thickBot="1">
      <c r="B526" s="8"/>
      <c r="C526" s="8"/>
      <c r="D526" s="8"/>
      <c r="E526" s="8"/>
    </row>
    <row r="527" spans="2:6" ht="15" thickTop="1" thickBot="1">
      <c r="B527" s="16" t="s">
        <v>13</v>
      </c>
      <c r="C527" s="17" t="s">
        <v>14</v>
      </c>
      <c r="D527" s="17" t="s">
        <v>15</v>
      </c>
      <c r="E527" s="17" t="s">
        <v>16</v>
      </c>
      <c r="F527" s="18" t="s">
        <v>17</v>
      </c>
    </row>
    <row r="528" spans="2:6" ht="14" thickTop="1">
      <c r="B528" s="19"/>
      <c r="C528" s="19"/>
      <c r="D528" s="19"/>
      <c r="E528" s="19"/>
      <c r="F528" s="19"/>
    </row>
    <row r="529" spans="2:6">
      <c r="B529" s="20"/>
      <c r="C529" s="21"/>
      <c r="D529" s="21"/>
      <c r="E529" s="22"/>
      <c r="F529" s="22">
        <f t="shared" ref="F529:F534" si="7">E529*D529</f>
        <v>0</v>
      </c>
    </row>
    <row r="530" spans="2:6">
      <c r="B530" s="20"/>
      <c r="C530" s="21"/>
      <c r="D530" s="21"/>
      <c r="E530" s="22"/>
      <c r="F530" s="22">
        <f t="shared" si="7"/>
        <v>0</v>
      </c>
    </row>
    <row r="531" spans="2:6">
      <c r="B531" s="20"/>
      <c r="C531" s="21"/>
      <c r="D531" s="21"/>
      <c r="E531" s="22"/>
      <c r="F531" s="22">
        <f t="shared" si="7"/>
        <v>0</v>
      </c>
    </row>
    <row r="532" spans="2:6">
      <c r="B532" s="20"/>
      <c r="C532" s="21"/>
      <c r="D532" s="21"/>
      <c r="E532" s="22"/>
      <c r="F532" s="22">
        <f t="shared" si="7"/>
        <v>0</v>
      </c>
    </row>
    <row r="533" spans="2:6">
      <c r="B533" s="20"/>
      <c r="C533" s="21"/>
      <c r="D533" s="21"/>
      <c r="E533" s="22"/>
      <c r="F533" s="22">
        <f t="shared" si="7"/>
        <v>0</v>
      </c>
    </row>
    <row r="534" spans="2:6">
      <c r="B534" s="20"/>
      <c r="C534" s="21"/>
      <c r="D534" s="21"/>
      <c r="E534" s="22"/>
      <c r="F534" s="22">
        <f t="shared" si="7"/>
        <v>0</v>
      </c>
    </row>
    <row r="535" spans="2:6" ht="17" thickBot="1">
      <c r="B535" s="6" t="s">
        <v>19</v>
      </c>
      <c r="C535" s="8"/>
      <c r="D535" s="8"/>
      <c r="E535" s="8"/>
      <c r="F535" s="23">
        <f>SUM(F529:F534)</f>
        <v>0</v>
      </c>
    </row>
    <row r="536" spans="2:6" ht="17" thickBot="1">
      <c r="B536" s="8"/>
      <c r="C536" s="8"/>
      <c r="D536" s="8"/>
      <c r="E536" s="8"/>
    </row>
    <row r="537" spans="2:6" ht="15" thickTop="1" thickBot="1">
      <c r="B537" s="16" t="s">
        <v>20</v>
      </c>
      <c r="C537" s="17" t="s">
        <v>14</v>
      </c>
      <c r="D537" s="17" t="s">
        <v>15</v>
      </c>
      <c r="E537" s="17" t="s">
        <v>16</v>
      </c>
      <c r="F537" s="18" t="s">
        <v>17</v>
      </c>
    </row>
    <row r="538" spans="2:6" ht="17" thickTop="1">
      <c r="B538" s="8"/>
      <c r="C538" s="8"/>
      <c r="D538" s="8"/>
      <c r="E538" s="8"/>
    </row>
    <row r="539" spans="2:6">
      <c r="B539" s="24" t="s">
        <v>21</v>
      </c>
      <c r="C539" s="20" t="s">
        <v>22</v>
      </c>
      <c r="D539" s="20">
        <v>4.3999999999999997E-2</v>
      </c>
      <c r="E539" s="22">
        <v>27500</v>
      </c>
      <c r="F539" s="25">
        <f>E539*D539</f>
        <v>1210</v>
      </c>
    </row>
    <row r="540" spans="2:6">
      <c r="B540" s="20" t="s">
        <v>23</v>
      </c>
      <c r="C540" s="20" t="s">
        <v>22</v>
      </c>
      <c r="D540" s="20">
        <v>4.3999999999999997E-2</v>
      </c>
      <c r="E540" s="22">
        <v>15000</v>
      </c>
      <c r="F540" s="25">
        <f>E540*D540</f>
        <v>660</v>
      </c>
    </row>
    <row r="541" spans="2:6" ht="16">
      <c r="B541" s="26"/>
      <c r="C541" s="26"/>
      <c r="D541" s="26"/>
      <c r="E541" s="26"/>
      <c r="F541" s="25">
        <f>E541*D541</f>
        <v>0</v>
      </c>
    </row>
    <row r="542" spans="2:6" ht="16">
      <c r="B542" s="26"/>
      <c r="C542" s="26"/>
      <c r="D542" s="26"/>
      <c r="E542" s="26"/>
      <c r="F542" s="25">
        <f>E542*D542</f>
        <v>0</v>
      </c>
    </row>
    <row r="543" spans="2:6" ht="16">
      <c r="B543" s="27" t="s">
        <v>25</v>
      </c>
      <c r="C543" s="27" t="s">
        <v>26</v>
      </c>
      <c r="D543" s="28">
        <v>0.32</v>
      </c>
      <c r="E543" s="29">
        <f>SUM(E539:E542)*D543</f>
        <v>13600</v>
      </c>
      <c r="F543" s="25">
        <f>E543*D543</f>
        <v>4352</v>
      </c>
    </row>
    <row r="544" spans="2:6" ht="16">
      <c r="B544" s="8"/>
      <c r="C544" s="8"/>
      <c r="D544" s="8"/>
      <c r="E544" s="8"/>
    </row>
    <row r="545" spans="2:6" ht="17" thickBot="1">
      <c r="B545" s="6" t="s">
        <v>27</v>
      </c>
      <c r="C545" s="8"/>
      <c r="D545" s="8"/>
      <c r="E545" s="8"/>
      <c r="F545" s="23">
        <f>SUM(F539:F544)</f>
        <v>6222</v>
      </c>
    </row>
    <row r="546" spans="2:6" ht="17" thickBot="1">
      <c r="B546" s="8"/>
      <c r="C546" s="8"/>
      <c r="D546" s="8"/>
      <c r="E546" s="8"/>
    </row>
    <row r="547" spans="2:6" ht="15" thickTop="1" thickBot="1">
      <c r="B547" s="16" t="s">
        <v>28</v>
      </c>
      <c r="C547" s="17" t="s">
        <v>14</v>
      </c>
      <c r="D547" s="17" t="s">
        <v>15</v>
      </c>
      <c r="E547" s="17" t="s">
        <v>16</v>
      </c>
      <c r="F547" s="18" t="s">
        <v>17</v>
      </c>
    </row>
    <row r="548" spans="2:6" ht="17" thickTop="1">
      <c r="B548" s="8"/>
      <c r="C548" s="8"/>
      <c r="D548" s="8"/>
      <c r="E548" s="8"/>
    </row>
    <row r="549" spans="2:6">
      <c r="B549" s="20" t="s">
        <v>64</v>
      </c>
      <c r="C549" s="20" t="s">
        <v>30</v>
      </c>
      <c r="D549" s="20">
        <v>0.1</v>
      </c>
      <c r="E549" s="22">
        <v>45000</v>
      </c>
      <c r="F549" s="25">
        <f>E549*D549</f>
        <v>4500</v>
      </c>
    </row>
    <row r="550" spans="2:6">
      <c r="B550" s="20" t="s">
        <v>90</v>
      </c>
      <c r="C550" s="20" t="s">
        <v>30</v>
      </c>
      <c r="D550" s="20">
        <v>0.1</v>
      </c>
      <c r="E550" s="22">
        <v>65000</v>
      </c>
      <c r="F550" s="25">
        <f>E550*D550</f>
        <v>6500</v>
      </c>
    </row>
    <row r="551" spans="2:6" ht="16">
      <c r="B551" s="26"/>
      <c r="C551" s="26"/>
      <c r="D551" s="26"/>
      <c r="E551" s="26"/>
      <c r="F551" s="25">
        <f>E551*D551</f>
        <v>0</v>
      </c>
    </row>
    <row r="552" spans="2:6" ht="16">
      <c r="B552" s="26"/>
      <c r="C552" s="26"/>
      <c r="D552" s="26"/>
      <c r="E552" s="26"/>
      <c r="F552" s="25">
        <f>E552*D552</f>
        <v>0</v>
      </c>
    </row>
    <row r="553" spans="2:6" ht="16">
      <c r="B553" s="30"/>
      <c r="C553" s="26"/>
      <c r="D553" s="26"/>
      <c r="E553" s="26"/>
      <c r="F553" s="25">
        <f>E553*D553</f>
        <v>0</v>
      </c>
    </row>
    <row r="554" spans="2:6" ht="16">
      <c r="B554" s="8"/>
      <c r="C554" s="8"/>
      <c r="D554" s="8"/>
      <c r="E554" s="8"/>
    </row>
    <row r="555" spans="2:6" ht="14" thickBot="1">
      <c r="B555" s="19" t="s">
        <v>33</v>
      </c>
      <c r="C555" s="19"/>
      <c r="D555" s="19"/>
      <c r="E555" s="19"/>
      <c r="F555" s="23">
        <f>SUM(F549:F554)</f>
        <v>11000</v>
      </c>
    </row>
    <row r="556" spans="2:6" ht="16">
      <c r="B556" s="8"/>
      <c r="C556" s="8"/>
      <c r="D556" s="8"/>
      <c r="E556" s="8"/>
    </row>
    <row r="557" spans="2:6" ht="17" thickBot="1">
      <c r="B557" s="8"/>
      <c r="C557" s="8"/>
      <c r="D557" s="8"/>
      <c r="E557" s="8"/>
    </row>
    <row r="558" spans="2:6" ht="17" thickBot="1">
      <c r="B558" s="31" t="s">
        <v>34</v>
      </c>
      <c r="C558" s="13"/>
      <c r="D558" s="13"/>
      <c r="E558" s="13"/>
      <c r="F558" s="32">
        <f>F535+F545+F555</f>
        <v>17222</v>
      </c>
    </row>
    <row r="559" spans="2:6" ht="17" thickBot="1">
      <c r="B559" s="31" t="s">
        <v>35</v>
      </c>
      <c r="C559" s="13"/>
      <c r="D559" s="13"/>
      <c r="E559" s="33">
        <v>0.1</v>
      </c>
      <c r="F559" s="32">
        <f>F558*E559</f>
        <v>1722.2</v>
      </c>
    </row>
    <row r="560" spans="2:6" ht="17" thickBot="1">
      <c r="B560" s="31" t="s">
        <v>36</v>
      </c>
      <c r="C560" s="13"/>
      <c r="D560" s="13"/>
      <c r="E560" s="33">
        <v>0.1</v>
      </c>
      <c r="F560" s="32">
        <f>F558*E560</f>
        <v>1722.2</v>
      </c>
    </row>
    <row r="561" spans="2:6" ht="17" thickBot="1">
      <c r="B561" s="34" t="s">
        <v>37</v>
      </c>
      <c r="C561" s="35"/>
      <c r="D561" s="35"/>
      <c r="E561" s="35"/>
      <c r="F561" s="32">
        <f>SUM(F558:F560)</f>
        <v>20666.400000000001</v>
      </c>
    </row>
    <row r="562" spans="2:6" ht="17" thickBot="1">
      <c r="B562" s="36"/>
      <c r="C562" s="8"/>
      <c r="D562" s="8"/>
      <c r="E562" s="8"/>
    </row>
    <row r="563" spans="2:6" ht="18" thickTop="1" thickBot="1">
      <c r="B563" s="37" t="s">
        <v>38</v>
      </c>
      <c r="C563" s="8"/>
      <c r="D563" s="8"/>
      <c r="E563" s="8"/>
    </row>
    <row r="564" spans="2:6" ht="18" thickTop="1" thickBot="1">
      <c r="B564" s="8"/>
      <c r="C564" s="8"/>
      <c r="D564" s="8"/>
      <c r="E564" s="8"/>
    </row>
    <row r="565" spans="2:6" ht="17" thickTop="1">
      <c r="B565" s="38"/>
      <c r="C565" s="13"/>
      <c r="D565" s="13"/>
      <c r="E565" s="39"/>
      <c r="F565" s="40"/>
    </row>
    <row r="566" spans="2:6" ht="16">
      <c r="B566" s="38"/>
      <c r="C566" s="13"/>
      <c r="D566" s="13"/>
      <c r="E566" s="41"/>
      <c r="F566" s="42"/>
    </row>
    <row r="567" spans="2:6" ht="16">
      <c r="B567" s="38"/>
      <c r="C567" s="13"/>
      <c r="D567" s="13"/>
      <c r="E567" s="41"/>
      <c r="F567" s="42"/>
    </row>
    <row r="568" spans="2:6" ht="17" thickBot="1">
      <c r="B568" s="54"/>
      <c r="C568" s="35"/>
      <c r="D568" s="35"/>
      <c r="E568" s="44"/>
      <c r="F568" s="45"/>
    </row>
    <row r="569" spans="2:6" ht="17" thickTop="1">
      <c r="B569" s="46"/>
      <c r="C569" s="46"/>
      <c r="D569" s="46"/>
      <c r="E569" s="47"/>
      <c r="F569" s="47"/>
    </row>
    <row r="570" spans="2:6" ht="14" thickBot="1">
      <c r="B570" s="1" t="s">
        <v>0</v>
      </c>
      <c r="C570" s="1"/>
    </row>
    <row r="571" spans="2:6" ht="17" thickBot="1">
      <c r="B571" s="1" t="s">
        <v>1</v>
      </c>
      <c r="C571" s="1"/>
      <c r="E571" s="4" t="s">
        <v>2</v>
      </c>
      <c r="F571" s="5"/>
    </row>
    <row r="572" spans="2:6">
      <c r="B572" s="6"/>
    </row>
    <row r="573" spans="2:6" ht="16">
      <c r="B573" s="7" t="s">
        <v>3</v>
      </c>
      <c r="C573" s="7"/>
      <c r="D573" s="7"/>
      <c r="E573" s="7"/>
      <c r="F573" s="7"/>
    </row>
    <row r="574" spans="2:6" ht="16">
      <c r="B574" s="8"/>
      <c r="C574" s="8"/>
      <c r="D574" s="8"/>
      <c r="E574" s="8"/>
    </row>
    <row r="575" spans="2:6" ht="20" customHeight="1">
      <c r="B575" s="9" t="s">
        <v>4</v>
      </c>
      <c r="C575" s="10" t="str">
        <f>C518</f>
        <v>MEJORAMIENTO ESPACIO PUBLICO JJVV LUCILA GODOY ALCAYAGA</v>
      </c>
      <c r="D575" s="10"/>
      <c r="E575" s="10"/>
      <c r="F575" s="11"/>
    </row>
    <row r="576" spans="2:6" ht="16">
      <c r="B576" s="12"/>
      <c r="C576" s="8"/>
      <c r="D576" s="8"/>
      <c r="E576" s="8"/>
    </row>
    <row r="577" spans="2:6" ht="16">
      <c r="B577" s="9" t="s">
        <v>5</v>
      </c>
      <c r="C577" s="13" t="s">
        <v>6</v>
      </c>
      <c r="D577" s="13"/>
      <c r="E577" s="13"/>
      <c r="F577" s="14"/>
    </row>
    <row r="578" spans="2:6" ht="16">
      <c r="B578" s="9"/>
      <c r="C578" s="13"/>
      <c r="D578" s="13"/>
      <c r="E578" s="13"/>
      <c r="F578" s="14"/>
    </row>
    <row r="579" spans="2:6" ht="16">
      <c r="B579" s="9" t="s">
        <v>7</v>
      </c>
      <c r="C579" s="13" t="str">
        <f>[1]LGA!A24</f>
        <v>2.1.2</v>
      </c>
      <c r="D579" s="13"/>
      <c r="E579" s="13"/>
      <c r="F579" s="14"/>
    </row>
    <row r="580" spans="2:6" ht="16">
      <c r="B580" s="9" t="s">
        <v>8</v>
      </c>
      <c r="C580" s="13" t="s">
        <v>91</v>
      </c>
      <c r="D580" s="13"/>
      <c r="E580" s="13"/>
      <c r="F580" s="14"/>
    </row>
    <row r="581" spans="2:6" ht="16">
      <c r="B581" s="9" t="s">
        <v>10</v>
      </c>
      <c r="C581" s="13" t="str">
        <f>'[3]PRESUPUESTO OFICIAL'!D42</f>
        <v>m3</v>
      </c>
      <c r="D581" s="13"/>
      <c r="E581" s="13"/>
      <c r="F581" s="14"/>
    </row>
    <row r="582" spans="2:6" ht="16">
      <c r="B582" s="9" t="s">
        <v>12</v>
      </c>
      <c r="C582" s="15">
        <f>C525</f>
        <v>46024</v>
      </c>
      <c r="D582" s="13"/>
      <c r="E582" s="13"/>
      <c r="F582" s="14"/>
    </row>
    <row r="583" spans="2:6" ht="17" thickBot="1">
      <c r="B583" s="8"/>
      <c r="C583" s="8"/>
      <c r="D583" s="8"/>
      <c r="E583" s="8"/>
    </row>
    <row r="584" spans="2:6" ht="15" thickTop="1" thickBot="1">
      <c r="B584" s="16" t="s">
        <v>13</v>
      </c>
      <c r="C584" s="17" t="s">
        <v>14</v>
      </c>
      <c r="D584" s="17" t="s">
        <v>15</v>
      </c>
      <c r="E584" s="17" t="s">
        <v>16</v>
      </c>
      <c r="F584" s="18" t="s">
        <v>17</v>
      </c>
    </row>
    <row r="585" spans="2:6" ht="14" thickTop="1">
      <c r="B585" s="19"/>
      <c r="C585" s="19"/>
      <c r="D585" s="19"/>
      <c r="E585" s="19"/>
      <c r="F585" s="19"/>
    </row>
    <row r="586" spans="2:6">
      <c r="B586" s="20" t="s">
        <v>92</v>
      </c>
      <c r="C586" s="21" t="s">
        <v>81</v>
      </c>
      <c r="D586" s="21">
        <v>1</v>
      </c>
      <c r="E586" s="22">
        <v>15000</v>
      </c>
      <c r="F586" s="22">
        <f t="shared" ref="F586:F591" si="8">E586*D586</f>
        <v>15000</v>
      </c>
    </row>
    <row r="587" spans="2:6">
      <c r="B587" s="20"/>
      <c r="C587" s="21"/>
      <c r="D587" s="21"/>
      <c r="E587" s="22"/>
      <c r="F587" s="22">
        <f t="shared" si="8"/>
        <v>0</v>
      </c>
    </row>
    <row r="588" spans="2:6">
      <c r="B588" s="20"/>
      <c r="C588" s="21"/>
      <c r="D588" s="21"/>
      <c r="E588" s="22"/>
      <c r="F588" s="22">
        <f t="shared" si="8"/>
        <v>0</v>
      </c>
    </row>
    <row r="589" spans="2:6">
      <c r="B589" s="20"/>
      <c r="C589" s="21"/>
      <c r="D589" s="21"/>
      <c r="E589" s="22"/>
      <c r="F589" s="22">
        <f t="shared" si="8"/>
        <v>0</v>
      </c>
    </row>
    <row r="590" spans="2:6">
      <c r="B590" s="20"/>
      <c r="C590" s="21"/>
      <c r="D590" s="21"/>
      <c r="E590" s="22"/>
      <c r="F590" s="22">
        <f t="shared" si="8"/>
        <v>0</v>
      </c>
    </row>
    <row r="591" spans="2:6">
      <c r="B591" s="20"/>
      <c r="C591" s="21"/>
      <c r="D591" s="21"/>
      <c r="E591" s="22"/>
      <c r="F591" s="22">
        <f t="shared" si="8"/>
        <v>0</v>
      </c>
    </row>
    <row r="592" spans="2:6" ht="17" thickBot="1">
      <c r="B592" s="6" t="s">
        <v>19</v>
      </c>
      <c r="C592" s="8"/>
      <c r="D592" s="8"/>
      <c r="E592" s="8"/>
      <c r="F592" s="23">
        <f>SUM(F586:F591)</f>
        <v>15000</v>
      </c>
    </row>
    <row r="593" spans="2:6" ht="17" thickBot="1">
      <c r="B593" s="8"/>
      <c r="C593" s="8"/>
      <c r="D593" s="8"/>
      <c r="E593" s="8"/>
    </row>
    <row r="594" spans="2:6" ht="15" thickTop="1" thickBot="1">
      <c r="B594" s="16" t="s">
        <v>20</v>
      </c>
      <c r="C594" s="17" t="s">
        <v>14</v>
      </c>
      <c r="D594" s="17" t="s">
        <v>15</v>
      </c>
      <c r="E594" s="17" t="s">
        <v>16</v>
      </c>
      <c r="F594" s="18" t="s">
        <v>17</v>
      </c>
    </row>
    <row r="595" spans="2:6" ht="17" thickTop="1">
      <c r="B595" s="8"/>
      <c r="C595" s="8"/>
      <c r="D595" s="8"/>
      <c r="E595" s="8"/>
    </row>
    <row r="596" spans="2:6">
      <c r="B596" s="24" t="s">
        <v>21</v>
      </c>
      <c r="C596" s="20" t="s">
        <v>22</v>
      </c>
      <c r="D596" s="20">
        <v>4.3999999999999997E-2</v>
      </c>
      <c r="E596" s="22">
        <v>27500</v>
      </c>
      <c r="F596" s="25">
        <f>E596*D596</f>
        <v>1210</v>
      </c>
    </row>
    <row r="597" spans="2:6">
      <c r="B597" s="20" t="s">
        <v>23</v>
      </c>
      <c r="C597" s="20" t="s">
        <v>22</v>
      </c>
      <c r="D597" s="20">
        <v>4.3999999999999997E-2</v>
      </c>
      <c r="E597" s="22">
        <v>15000</v>
      </c>
      <c r="F597" s="25">
        <f>E597*D597</f>
        <v>660</v>
      </c>
    </row>
    <row r="598" spans="2:6" ht="16">
      <c r="B598" s="26"/>
      <c r="C598" s="26"/>
      <c r="D598" s="26"/>
      <c r="E598" s="26"/>
      <c r="F598" s="25">
        <f>E598*D598</f>
        <v>0</v>
      </c>
    </row>
    <row r="599" spans="2:6" ht="16">
      <c r="B599" s="26"/>
      <c r="C599" s="26"/>
      <c r="D599" s="26"/>
      <c r="E599" s="26"/>
      <c r="F599" s="25">
        <f>E599*D599</f>
        <v>0</v>
      </c>
    </row>
    <row r="600" spans="2:6" ht="16">
      <c r="B600" s="27" t="s">
        <v>25</v>
      </c>
      <c r="C600" s="27" t="s">
        <v>26</v>
      </c>
      <c r="D600" s="28">
        <v>0.32</v>
      </c>
      <c r="E600" s="29">
        <f>SUM(E596:E599)*D600</f>
        <v>13600</v>
      </c>
      <c r="F600" s="25">
        <f>E600*D600</f>
        <v>4352</v>
      </c>
    </row>
    <row r="601" spans="2:6" ht="16">
      <c r="B601" s="8"/>
      <c r="C601" s="8"/>
      <c r="D601" s="8"/>
      <c r="E601" s="8"/>
    </row>
    <row r="602" spans="2:6" ht="17" thickBot="1">
      <c r="B602" s="6" t="s">
        <v>27</v>
      </c>
      <c r="C602" s="8"/>
      <c r="D602" s="8"/>
      <c r="E602" s="8"/>
      <c r="F602" s="23">
        <f>SUM(F596:F600)*D600</f>
        <v>1991.04</v>
      </c>
    </row>
    <row r="603" spans="2:6" ht="17" thickBot="1">
      <c r="B603" s="8"/>
      <c r="C603" s="8"/>
      <c r="D603" s="8"/>
      <c r="E603" s="8"/>
    </row>
    <row r="604" spans="2:6" ht="15" thickTop="1" thickBot="1">
      <c r="B604" s="16" t="s">
        <v>28</v>
      </c>
      <c r="C604" s="17" t="s">
        <v>14</v>
      </c>
      <c r="D604" s="17" t="s">
        <v>15</v>
      </c>
      <c r="E604" s="17" t="s">
        <v>16</v>
      </c>
      <c r="F604" s="18" t="s">
        <v>17</v>
      </c>
    </row>
    <row r="605" spans="2:6" ht="17" thickTop="1">
      <c r="B605" s="8"/>
      <c r="C605" s="8"/>
      <c r="D605" s="8"/>
      <c r="E605" s="8"/>
    </row>
    <row r="606" spans="2:6">
      <c r="B606" s="20" t="s">
        <v>93</v>
      </c>
      <c r="C606" s="20" t="s">
        <v>32</v>
      </c>
      <c r="D606" s="20">
        <v>4.3999999999999997E-2</v>
      </c>
      <c r="E606" s="22">
        <v>25000</v>
      </c>
      <c r="F606" s="25">
        <f>E606*D606</f>
        <v>1100</v>
      </c>
    </row>
    <row r="607" spans="2:6">
      <c r="B607" s="20"/>
      <c r="C607" s="20"/>
      <c r="D607" s="55"/>
      <c r="E607" s="22"/>
      <c r="F607" s="25">
        <f>E607*D607</f>
        <v>0</v>
      </c>
    </row>
    <row r="608" spans="2:6" ht="16">
      <c r="B608" s="26"/>
      <c r="C608" s="26"/>
      <c r="D608" s="26"/>
      <c r="E608" s="26"/>
      <c r="F608" s="25">
        <f>E608*D608</f>
        <v>0</v>
      </c>
    </row>
    <row r="609" spans="2:6" ht="16">
      <c r="B609" s="26"/>
      <c r="C609" s="26"/>
      <c r="D609" s="26"/>
      <c r="E609" s="26"/>
      <c r="F609" s="25">
        <f>E609*D609</f>
        <v>0</v>
      </c>
    </row>
    <row r="610" spans="2:6" ht="16">
      <c r="B610" s="30"/>
      <c r="C610" s="26"/>
      <c r="D610" s="26"/>
      <c r="E610" s="26"/>
      <c r="F610" s="25">
        <f>E610*D610</f>
        <v>0</v>
      </c>
    </row>
    <row r="611" spans="2:6" ht="16">
      <c r="B611" s="8"/>
      <c r="C611" s="8"/>
      <c r="D611" s="8"/>
      <c r="E611" s="8"/>
    </row>
    <row r="612" spans="2:6" ht="14" thickBot="1">
      <c r="B612" s="19" t="s">
        <v>33</v>
      </c>
      <c r="C612" s="19"/>
      <c r="D612" s="19"/>
      <c r="E612" s="19"/>
      <c r="F612" s="23">
        <f>SUM(F606:F611)</f>
        <v>1100</v>
      </c>
    </row>
    <row r="613" spans="2:6" ht="16">
      <c r="B613" s="8"/>
      <c r="C613" s="8"/>
      <c r="D613" s="8"/>
      <c r="E613" s="8"/>
    </row>
    <row r="614" spans="2:6" ht="17" thickBot="1">
      <c r="B614" s="8"/>
      <c r="C614" s="8"/>
      <c r="D614" s="8"/>
      <c r="E614" s="8"/>
    </row>
    <row r="615" spans="2:6" ht="17" thickBot="1">
      <c r="B615" s="31" t="s">
        <v>34</v>
      </c>
      <c r="C615" s="13"/>
      <c r="D615" s="13"/>
      <c r="E615" s="13"/>
      <c r="F615" s="32">
        <f>F592+F602+F612</f>
        <v>18091.04</v>
      </c>
    </row>
    <row r="616" spans="2:6" ht="17" thickBot="1">
      <c r="B616" s="31" t="s">
        <v>35</v>
      </c>
      <c r="C616" s="13"/>
      <c r="D616" s="13"/>
      <c r="E616" s="33">
        <f>E559</f>
        <v>0.1</v>
      </c>
      <c r="F616" s="32">
        <f>F615*E616</f>
        <v>1809.1040000000003</v>
      </c>
    </row>
    <row r="617" spans="2:6" ht="17" thickBot="1">
      <c r="B617" s="31" t="s">
        <v>36</v>
      </c>
      <c r="C617" s="13"/>
      <c r="D617" s="13"/>
      <c r="E617" s="33">
        <f>E560</f>
        <v>0.1</v>
      </c>
      <c r="F617" s="32">
        <f>F615*E617</f>
        <v>1809.1040000000003</v>
      </c>
    </row>
    <row r="618" spans="2:6" ht="17" thickBot="1">
      <c r="B618" s="34" t="s">
        <v>37</v>
      </c>
      <c r="C618" s="35"/>
      <c r="D618" s="35"/>
      <c r="E618" s="35"/>
      <c r="F618" s="32">
        <f>SUM(F615:F617)</f>
        <v>21709.248</v>
      </c>
    </row>
    <row r="619" spans="2:6" ht="17" thickBot="1">
      <c r="B619" s="36"/>
      <c r="C619" s="8"/>
      <c r="D619" s="8"/>
      <c r="E619" s="8"/>
    </row>
    <row r="620" spans="2:6" ht="18" thickTop="1" thickBot="1">
      <c r="B620" s="37" t="s">
        <v>38</v>
      </c>
      <c r="C620" s="8"/>
      <c r="D620" s="8"/>
      <c r="E620" s="8"/>
    </row>
    <row r="621" spans="2:6" ht="18" thickTop="1" thickBot="1">
      <c r="B621" s="8"/>
      <c r="C621" s="8"/>
      <c r="D621" s="8"/>
      <c r="E621" s="8"/>
    </row>
    <row r="622" spans="2:6" ht="17" thickTop="1">
      <c r="B622" s="38"/>
      <c r="C622" s="13"/>
      <c r="D622" s="13"/>
      <c r="E622" s="39"/>
      <c r="F622" s="40"/>
    </row>
    <row r="623" spans="2:6" ht="16">
      <c r="B623" s="38"/>
      <c r="C623" s="13"/>
      <c r="D623" s="13"/>
      <c r="E623" s="41"/>
      <c r="F623" s="42"/>
    </row>
    <row r="624" spans="2:6" ht="16">
      <c r="B624" s="38"/>
      <c r="C624" s="13"/>
      <c r="D624" s="13"/>
      <c r="E624" s="41"/>
      <c r="F624" s="42"/>
    </row>
    <row r="625" spans="2:6" ht="17" thickBot="1">
      <c r="B625" s="54"/>
      <c r="C625" s="35"/>
      <c r="D625" s="35"/>
      <c r="E625" s="44"/>
      <c r="F625" s="45"/>
    </row>
    <row r="626" spans="2:6" ht="17" thickTop="1">
      <c r="B626" s="46"/>
      <c r="C626" s="46"/>
      <c r="D626" s="46"/>
      <c r="E626" s="47"/>
      <c r="F626" s="47"/>
    </row>
    <row r="627" spans="2:6" ht="14" thickBot="1">
      <c r="B627" s="1" t="s">
        <v>0</v>
      </c>
      <c r="C627" s="1"/>
    </row>
    <row r="628" spans="2:6" ht="17" thickBot="1">
      <c r="B628" s="1" t="s">
        <v>1</v>
      </c>
      <c r="C628" s="1"/>
      <c r="E628" s="4" t="s">
        <v>2</v>
      </c>
      <c r="F628" s="5"/>
    </row>
    <row r="629" spans="2:6">
      <c r="B629" s="6"/>
    </row>
    <row r="630" spans="2:6" ht="16">
      <c r="B630" s="7" t="s">
        <v>3</v>
      </c>
      <c r="C630" s="7"/>
      <c r="D630" s="7"/>
      <c r="E630" s="7"/>
      <c r="F630" s="7"/>
    </row>
    <row r="631" spans="2:6" ht="16">
      <c r="B631" s="8"/>
      <c r="C631" s="8"/>
      <c r="D631" s="8"/>
      <c r="E631" s="8"/>
    </row>
    <row r="632" spans="2:6" ht="16">
      <c r="B632" s="9" t="s">
        <v>4</v>
      </c>
      <c r="C632" s="13" t="str">
        <f>C747</f>
        <v>MEJORAMIENTO ESPACIO PUBLICO JJVV LUCILA GODOY ALCAYAGA</v>
      </c>
      <c r="D632" s="13"/>
      <c r="E632" s="13"/>
      <c r="F632" s="14"/>
    </row>
    <row r="633" spans="2:6" ht="16">
      <c r="B633" s="12"/>
      <c r="C633" s="8"/>
      <c r="D633" s="8"/>
      <c r="E633" s="8"/>
    </row>
    <row r="634" spans="2:6" ht="16">
      <c r="B634" s="9" t="s">
        <v>5</v>
      </c>
      <c r="C634" s="13" t="s">
        <v>6</v>
      </c>
      <c r="D634" s="13"/>
      <c r="E634" s="13"/>
      <c r="F634" s="14"/>
    </row>
    <row r="635" spans="2:6" ht="16">
      <c r="B635" s="9"/>
      <c r="C635" s="13"/>
      <c r="D635" s="13"/>
      <c r="E635" s="13"/>
      <c r="F635" s="14"/>
    </row>
    <row r="636" spans="2:6" ht="16">
      <c r="B636" s="9" t="s">
        <v>7</v>
      </c>
      <c r="C636" s="13" t="str">
        <f>[1]LGA!A25</f>
        <v>2.1.3</v>
      </c>
      <c r="D636" s="13"/>
      <c r="E636" s="13"/>
      <c r="F636" s="14"/>
    </row>
    <row r="637" spans="2:6" ht="16">
      <c r="B637" s="9" t="s">
        <v>8</v>
      </c>
      <c r="C637" s="13" t="s">
        <v>94</v>
      </c>
      <c r="D637" s="13"/>
      <c r="E637" s="13"/>
      <c r="F637" s="14"/>
    </row>
    <row r="638" spans="2:6" ht="16">
      <c r="B638" s="9" t="s">
        <v>10</v>
      </c>
      <c r="C638" s="13" t="s">
        <v>95</v>
      </c>
      <c r="D638" s="13"/>
      <c r="E638" s="13"/>
      <c r="F638" s="14"/>
    </row>
    <row r="639" spans="2:6" ht="16">
      <c r="B639" s="9" t="s">
        <v>12</v>
      </c>
      <c r="C639" s="15">
        <f>C754</f>
        <v>46024</v>
      </c>
      <c r="D639" s="13"/>
      <c r="E639" s="13"/>
      <c r="F639" s="14"/>
    </row>
    <row r="640" spans="2:6" ht="17" thickBot="1">
      <c r="B640" s="8"/>
      <c r="C640" s="8"/>
      <c r="D640" s="8"/>
      <c r="E640" s="8"/>
    </row>
    <row r="641" spans="2:6" ht="15" thickTop="1" thickBot="1">
      <c r="B641" s="16" t="s">
        <v>13</v>
      </c>
      <c r="C641" s="17" t="s">
        <v>14</v>
      </c>
      <c r="D641" s="17" t="s">
        <v>15</v>
      </c>
      <c r="E641" s="17" t="s">
        <v>16</v>
      </c>
      <c r="F641" s="18" t="s">
        <v>17</v>
      </c>
    </row>
    <row r="642" spans="2:6" ht="14" thickTop="1">
      <c r="B642" s="19"/>
      <c r="C642" s="19"/>
      <c r="D642" s="19"/>
      <c r="E642" s="19"/>
      <c r="F642" s="19"/>
    </row>
    <row r="643" spans="2:6">
      <c r="B643" s="20" t="s">
        <v>96</v>
      </c>
      <c r="C643" s="21" t="s">
        <v>43</v>
      </c>
      <c r="D643" s="21">
        <v>3.3000000000000002E-2</v>
      </c>
      <c r="E643" s="22">
        <v>40000</v>
      </c>
      <c r="F643" s="22">
        <f t="shared" ref="F643:F648" si="9">E643*D643</f>
        <v>1320</v>
      </c>
    </row>
    <row r="644" spans="2:6">
      <c r="B644" s="20" t="s">
        <v>57</v>
      </c>
      <c r="C644" s="21" t="s">
        <v>43</v>
      </c>
      <c r="D644" s="21">
        <v>0.77</v>
      </c>
      <c r="E644" s="22">
        <v>3000</v>
      </c>
      <c r="F644" s="22">
        <f t="shared" si="9"/>
        <v>2310</v>
      </c>
    </row>
    <row r="645" spans="2:6">
      <c r="B645" s="20" t="s">
        <v>58</v>
      </c>
      <c r="C645" s="21" t="s">
        <v>43</v>
      </c>
      <c r="D645" s="21">
        <v>0.44</v>
      </c>
      <c r="E645" s="22">
        <v>6200</v>
      </c>
      <c r="F645" s="22">
        <f t="shared" si="9"/>
        <v>2728</v>
      </c>
    </row>
    <row r="646" spans="2:6">
      <c r="B646" s="20" t="s">
        <v>97</v>
      </c>
      <c r="C646" s="21" t="s">
        <v>49</v>
      </c>
      <c r="D646" s="21">
        <v>0.22</v>
      </c>
      <c r="E646" s="22">
        <v>3200</v>
      </c>
      <c r="F646" s="22">
        <f t="shared" si="9"/>
        <v>704</v>
      </c>
    </row>
    <row r="647" spans="2:6">
      <c r="B647" s="20" t="s">
        <v>98</v>
      </c>
      <c r="C647" s="21" t="s">
        <v>49</v>
      </c>
      <c r="D647" s="21">
        <v>0.22</v>
      </c>
      <c r="E647" s="22">
        <v>4000</v>
      </c>
      <c r="F647" s="22">
        <f t="shared" si="9"/>
        <v>880</v>
      </c>
    </row>
    <row r="648" spans="2:6">
      <c r="B648" s="20" t="s">
        <v>99</v>
      </c>
      <c r="C648" s="21" t="s">
        <v>43</v>
      </c>
      <c r="D648" s="21">
        <v>1.4999999999999999E-2</v>
      </c>
      <c r="E648" s="22">
        <v>100000</v>
      </c>
      <c r="F648" s="22">
        <f t="shared" si="9"/>
        <v>1500</v>
      </c>
    </row>
    <row r="649" spans="2:6" ht="17" thickBot="1">
      <c r="B649" s="6" t="s">
        <v>19</v>
      </c>
      <c r="C649" s="8"/>
      <c r="D649" s="8"/>
      <c r="E649" s="8"/>
      <c r="F649" s="23">
        <f>SUM(F643:F648)</f>
        <v>9442</v>
      </c>
    </row>
    <row r="650" spans="2:6" ht="17" thickBot="1">
      <c r="B650" s="8"/>
      <c r="C650" s="8"/>
      <c r="D650" s="8"/>
      <c r="E650" s="8"/>
    </row>
    <row r="651" spans="2:6" ht="15" thickTop="1" thickBot="1">
      <c r="B651" s="16" t="s">
        <v>20</v>
      </c>
      <c r="C651" s="17" t="s">
        <v>14</v>
      </c>
      <c r="D651" s="17" t="s">
        <v>15</v>
      </c>
      <c r="E651" s="17" t="s">
        <v>16</v>
      </c>
      <c r="F651" s="18" t="s">
        <v>17</v>
      </c>
    </row>
    <row r="652" spans="2:6" ht="17" thickTop="1">
      <c r="B652" s="8"/>
      <c r="C652" s="8"/>
      <c r="D652" s="8"/>
      <c r="E652" s="8"/>
    </row>
    <row r="653" spans="2:6">
      <c r="B653" s="24" t="s">
        <v>21</v>
      </c>
      <c r="C653" s="20" t="s">
        <v>22</v>
      </c>
      <c r="D653" s="20">
        <v>0.19400000000000001</v>
      </c>
      <c r="E653" s="22">
        <v>27500</v>
      </c>
      <c r="F653" s="25">
        <f>E653*D653</f>
        <v>5335</v>
      </c>
    </row>
    <row r="654" spans="2:6">
      <c r="B654" s="20" t="s">
        <v>23</v>
      </c>
      <c r="C654" s="20" t="s">
        <v>22</v>
      </c>
      <c r="D654" s="20">
        <v>0.19400000000000001</v>
      </c>
      <c r="E654" s="22">
        <v>15000</v>
      </c>
      <c r="F654" s="25">
        <f>E654*D654</f>
        <v>2910</v>
      </c>
    </row>
    <row r="655" spans="2:6" ht="16">
      <c r="B655" s="26"/>
      <c r="C655" s="26"/>
      <c r="D655" s="26"/>
      <c r="E655" s="26"/>
      <c r="F655" s="25">
        <f>E655*D655</f>
        <v>0</v>
      </c>
    </row>
    <row r="656" spans="2:6" ht="16">
      <c r="B656" s="26"/>
      <c r="C656" s="26"/>
      <c r="D656" s="26"/>
      <c r="E656" s="26"/>
      <c r="F656" s="25">
        <f>E656*D656</f>
        <v>0</v>
      </c>
    </row>
    <row r="657" spans="2:6" ht="16">
      <c r="B657" s="27" t="s">
        <v>25</v>
      </c>
      <c r="C657" s="27" t="s">
        <v>26</v>
      </c>
      <c r="D657" s="28">
        <v>0.32</v>
      </c>
      <c r="E657" s="29">
        <f>SUM(E653:E656)*D657</f>
        <v>13600</v>
      </c>
      <c r="F657" s="25">
        <f>E657*D657</f>
        <v>4352</v>
      </c>
    </row>
    <row r="658" spans="2:6" ht="16">
      <c r="B658" s="8"/>
      <c r="C658" s="8"/>
      <c r="D658" s="8"/>
      <c r="E658" s="8"/>
    </row>
    <row r="659" spans="2:6" ht="17" thickBot="1">
      <c r="B659" s="6" t="s">
        <v>27</v>
      </c>
      <c r="C659" s="8"/>
      <c r="D659" s="8"/>
      <c r="E659" s="8"/>
      <c r="F659" s="23">
        <f>SUM(F653:F658)</f>
        <v>12597</v>
      </c>
    </row>
    <row r="660" spans="2:6" ht="17" thickBot="1">
      <c r="B660" s="8"/>
      <c r="C660" s="8"/>
      <c r="D660" s="8"/>
      <c r="E660" s="8"/>
    </row>
    <row r="661" spans="2:6" ht="15" thickTop="1" thickBot="1">
      <c r="B661" s="16" t="s">
        <v>28</v>
      </c>
      <c r="C661" s="17" t="s">
        <v>14</v>
      </c>
      <c r="D661" s="17" t="s">
        <v>15</v>
      </c>
      <c r="E661" s="17" t="s">
        <v>16</v>
      </c>
      <c r="F661" s="18" t="s">
        <v>17</v>
      </c>
    </row>
    <row r="662" spans="2:6" ht="17" thickTop="1">
      <c r="B662" s="8"/>
      <c r="C662" s="8"/>
      <c r="D662" s="8"/>
      <c r="E662" s="8"/>
    </row>
    <row r="663" spans="2:6">
      <c r="B663" s="20"/>
      <c r="C663" s="20"/>
      <c r="D663" s="20"/>
      <c r="E663" s="22"/>
      <c r="F663" s="25">
        <f>E663*D663</f>
        <v>0</v>
      </c>
    </row>
    <row r="664" spans="2:6">
      <c r="B664" s="20" t="s">
        <v>31</v>
      </c>
      <c r="C664" s="20" t="s">
        <v>32</v>
      </c>
      <c r="D664" s="68">
        <v>0.01</v>
      </c>
      <c r="E664" s="22">
        <v>25000</v>
      </c>
      <c r="F664" s="25">
        <f>E664*D664</f>
        <v>250</v>
      </c>
    </row>
    <row r="665" spans="2:6" ht="16">
      <c r="B665" s="26"/>
      <c r="C665" s="26"/>
      <c r="D665" s="26"/>
      <c r="E665" s="26"/>
      <c r="F665" s="25">
        <f>E665*D665</f>
        <v>0</v>
      </c>
    </row>
    <row r="666" spans="2:6" ht="16">
      <c r="B666" s="26"/>
      <c r="C666" s="26"/>
      <c r="D666" s="26"/>
      <c r="E666" s="26"/>
      <c r="F666" s="25">
        <f>E666*D666</f>
        <v>0</v>
      </c>
    </row>
    <row r="667" spans="2:6" ht="16">
      <c r="B667" s="30"/>
      <c r="C667" s="26"/>
      <c r="D667" s="26"/>
      <c r="E667" s="26"/>
      <c r="F667" s="25">
        <f>E667*D667</f>
        <v>0</v>
      </c>
    </row>
    <row r="668" spans="2:6" ht="16">
      <c r="B668" s="8"/>
      <c r="C668" s="8"/>
      <c r="D668" s="8"/>
      <c r="E668" s="8"/>
    </row>
    <row r="669" spans="2:6" ht="14" thickBot="1">
      <c r="B669" s="19" t="s">
        <v>33</v>
      </c>
      <c r="C669" s="19"/>
      <c r="D669" s="19"/>
      <c r="E669" s="19"/>
      <c r="F669" s="23">
        <f>SUM(F663:F668)</f>
        <v>250</v>
      </c>
    </row>
    <row r="670" spans="2:6" ht="16">
      <c r="B670" s="8"/>
      <c r="C670" s="8"/>
      <c r="D670" s="8"/>
      <c r="E670" s="8"/>
    </row>
    <row r="671" spans="2:6" ht="17" thickBot="1">
      <c r="B671" s="8"/>
      <c r="C671" s="8"/>
      <c r="D671" s="8"/>
      <c r="E671" s="8"/>
    </row>
    <row r="672" spans="2:6" ht="17" thickBot="1">
      <c r="B672" s="31" t="s">
        <v>34</v>
      </c>
      <c r="C672" s="13"/>
      <c r="D672" s="13"/>
      <c r="E672" s="13"/>
      <c r="F672" s="32">
        <f>F649+F659+F669</f>
        <v>22289</v>
      </c>
    </row>
    <row r="673" spans="2:6" ht="17" thickBot="1">
      <c r="B673" s="31" t="s">
        <v>35</v>
      </c>
      <c r="C673" s="13"/>
      <c r="D673" s="13"/>
      <c r="E673" s="33">
        <v>0.1</v>
      </c>
      <c r="F673" s="32">
        <f>F672*E673</f>
        <v>2228.9</v>
      </c>
    </row>
    <row r="674" spans="2:6" ht="17" thickBot="1">
      <c r="B674" s="31" t="s">
        <v>36</v>
      </c>
      <c r="C674" s="13"/>
      <c r="D674" s="13"/>
      <c r="E674" s="33">
        <v>0.1</v>
      </c>
      <c r="F674" s="32">
        <f>F672*E674</f>
        <v>2228.9</v>
      </c>
    </row>
    <row r="675" spans="2:6" ht="17" thickBot="1">
      <c r="B675" s="34" t="s">
        <v>37</v>
      </c>
      <c r="C675" s="35"/>
      <c r="D675" s="35"/>
      <c r="E675" s="35"/>
      <c r="F675" s="32">
        <f>SUM(F672:F674)</f>
        <v>26746.800000000003</v>
      </c>
    </row>
    <row r="676" spans="2:6" ht="17" thickBot="1">
      <c r="B676" s="36"/>
      <c r="C676" s="8"/>
      <c r="D676" s="8"/>
      <c r="E676" s="8"/>
    </row>
    <row r="677" spans="2:6" ht="18" thickTop="1" thickBot="1">
      <c r="B677" s="37" t="s">
        <v>38</v>
      </c>
      <c r="C677" s="8"/>
      <c r="D677" s="8"/>
      <c r="E677" s="8"/>
    </row>
    <row r="678" spans="2:6" ht="18" thickTop="1" thickBot="1">
      <c r="B678" s="8"/>
      <c r="C678" s="8"/>
      <c r="D678" s="8"/>
      <c r="E678" s="8"/>
    </row>
    <row r="679" spans="2:6" ht="17" thickTop="1">
      <c r="B679" s="38"/>
      <c r="C679" s="13"/>
      <c r="D679" s="13"/>
      <c r="E679" s="39"/>
      <c r="F679" s="40"/>
    </row>
    <row r="680" spans="2:6" ht="16">
      <c r="B680" s="38"/>
      <c r="C680" s="13"/>
      <c r="D680" s="13"/>
      <c r="E680" s="41"/>
      <c r="F680" s="42"/>
    </row>
    <row r="681" spans="2:6" ht="16">
      <c r="B681" s="38"/>
      <c r="C681" s="13"/>
      <c r="D681" s="13"/>
      <c r="E681" s="41"/>
      <c r="F681" s="42"/>
    </row>
    <row r="682" spans="2:6" ht="17" thickBot="1">
      <c r="B682" s="54"/>
      <c r="C682" s="35"/>
      <c r="D682" s="35"/>
      <c r="E682" s="44"/>
      <c r="F682" s="45"/>
    </row>
    <row r="683" spans="2:6" ht="17" thickTop="1">
      <c r="B683" s="46"/>
      <c r="C683" s="46"/>
      <c r="D683" s="46"/>
      <c r="E683" s="47"/>
      <c r="F683" s="47"/>
    </row>
    <row r="684" spans="2:6" ht="14" thickBot="1">
      <c r="B684" s="1" t="s">
        <v>0</v>
      </c>
      <c r="C684" s="1"/>
    </row>
    <row r="685" spans="2:6" ht="17" thickBot="1">
      <c r="B685" s="1" t="s">
        <v>1</v>
      </c>
      <c r="C685" s="1"/>
      <c r="E685" s="4" t="s">
        <v>2</v>
      </c>
      <c r="F685" s="5"/>
    </row>
    <row r="686" spans="2:6">
      <c r="B686" s="6"/>
    </row>
    <row r="687" spans="2:6" ht="16">
      <c r="B687" s="7" t="s">
        <v>3</v>
      </c>
      <c r="C687" s="7"/>
      <c r="D687" s="7"/>
      <c r="E687" s="7"/>
      <c r="F687" s="7"/>
    </row>
    <row r="688" spans="2:6" ht="16">
      <c r="B688" s="8"/>
      <c r="C688" s="8"/>
      <c r="D688" s="8"/>
      <c r="E688" s="8"/>
    </row>
    <row r="689" spans="2:6" ht="25" customHeight="1">
      <c r="B689" s="9" t="s">
        <v>4</v>
      </c>
      <c r="C689" s="10" t="str">
        <f>C575</f>
        <v>MEJORAMIENTO ESPACIO PUBLICO JJVV LUCILA GODOY ALCAYAGA</v>
      </c>
      <c r="D689" s="10"/>
      <c r="E689" s="10"/>
      <c r="F689" s="11"/>
    </row>
    <row r="690" spans="2:6" ht="16">
      <c r="B690" s="12"/>
      <c r="C690" s="8"/>
      <c r="D690" s="8"/>
      <c r="E690" s="8"/>
    </row>
    <row r="691" spans="2:6" ht="16">
      <c r="B691" s="9" t="s">
        <v>5</v>
      </c>
      <c r="C691" s="13" t="s">
        <v>6</v>
      </c>
      <c r="D691" s="13"/>
      <c r="E691" s="13"/>
      <c r="F691" s="14"/>
    </row>
    <row r="692" spans="2:6" ht="16">
      <c r="B692" s="9"/>
      <c r="C692" s="13"/>
      <c r="D692" s="13"/>
      <c r="E692" s="13"/>
      <c r="F692" s="14"/>
    </row>
    <row r="693" spans="2:6" ht="16">
      <c r="B693" s="9" t="s">
        <v>7</v>
      </c>
      <c r="C693" s="13" t="str">
        <f>[1]LGA!A26</f>
        <v>2.1.4</v>
      </c>
      <c r="D693" s="13"/>
      <c r="E693" s="13"/>
      <c r="F693" s="14"/>
    </row>
    <row r="694" spans="2:6" ht="16">
      <c r="B694" s="9" t="s">
        <v>8</v>
      </c>
      <c r="C694" s="13" t="s">
        <v>100</v>
      </c>
      <c r="D694" s="13"/>
      <c r="E694" s="13"/>
      <c r="F694" s="14"/>
    </row>
    <row r="695" spans="2:6" ht="16">
      <c r="B695" s="9" t="s">
        <v>10</v>
      </c>
      <c r="C695" s="13" t="str">
        <f>'[3]PRESUPUESTO OFICIAL'!D22</f>
        <v>m2</v>
      </c>
      <c r="D695" s="13"/>
      <c r="E695" s="13"/>
      <c r="F695" s="14"/>
    </row>
    <row r="696" spans="2:6" ht="16">
      <c r="B696" s="9" t="s">
        <v>12</v>
      </c>
      <c r="C696" s="15">
        <f>C582</f>
        <v>46024</v>
      </c>
      <c r="D696" s="13"/>
      <c r="E696" s="13"/>
      <c r="F696" s="14"/>
    </row>
    <row r="697" spans="2:6" ht="17" thickBot="1">
      <c r="B697" s="8"/>
      <c r="C697" s="8"/>
      <c r="D697" s="8"/>
      <c r="E697" s="8"/>
    </row>
    <row r="698" spans="2:6" ht="15" thickTop="1" thickBot="1">
      <c r="B698" s="16" t="s">
        <v>13</v>
      </c>
      <c r="C698" s="17" t="s">
        <v>14</v>
      </c>
      <c r="D698" s="17" t="s">
        <v>15</v>
      </c>
      <c r="E698" s="17" t="s">
        <v>16</v>
      </c>
      <c r="F698" s="18" t="s">
        <v>17</v>
      </c>
    </row>
    <row r="699" spans="2:6" ht="14" thickTop="1">
      <c r="B699" s="19"/>
      <c r="C699" s="19"/>
      <c r="D699" s="19"/>
      <c r="E699" s="19"/>
      <c r="F699" s="19"/>
    </row>
    <row r="700" spans="2:6">
      <c r="B700" s="20" t="s">
        <v>101</v>
      </c>
      <c r="C700" s="21" t="s">
        <v>102</v>
      </c>
      <c r="D700" s="21">
        <v>4.5999999999999999E-2</v>
      </c>
      <c r="E700" s="22">
        <v>5200</v>
      </c>
      <c r="F700" s="22">
        <f t="shared" ref="F700:F705" si="10">E700*D700</f>
        <v>239.2</v>
      </c>
    </row>
    <row r="701" spans="2:6">
      <c r="B701" s="20"/>
      <c r="C701" s="21"/>
      <c r="D701" s="21"/>
      <c r="E701" s="22"/>
      <c r="F701" s="22">
        <f t="shared" si="10"/>
        <v>0</v>
      </c>
    </row>
    <row r="702" spans="2:6">
      <c r="B702" s="20"/>
      <c r="C702" s="21"/>
      <c r="D702" s="21"/>
      <c r="E702" s="22"/>
      <c r="F702" s="22">
        <f t="shared" si="10"/>
        <v>0</v>
      </c>
    </row>
    <row r="703" spans="2:6">
      <c r="B703" s="20"/>
      <c r="C703" s="21"/>
      <c r="D703" s="21"/>
      <c r="E703" s="22"/>
      <c r="F703" s="22">
        <f t="shared" si="10"/>
        <v>0</v>
      </c>
    </row>
    <row r="704" spans="2:6">
      <c r="B704" s="20"/>
      <c r="C704" s="21"/>
      <c r="D704" s="21"/>
      <c r="E704" s="22"/>
      <c r="F704" s="22">
        <f t="shared" si="10"/>
        <v>0</v>
      </c>
    </row>
    <row r="705" spans="2:6">
      <c r="B705" s="20"/>
      <c r="C705" s="21"/>
      <c r="D705" s="21"/>
      <c r="E705" s="22"/>
      <c r="F705" s="22">
        <f t="shared" si="10"/>
        <v>0</v>
      </c>
    </row>
    <row r="706" spans="2:6" ht="17" thickBot="1">
      <c r="B706" s="6" t="s">
        <v>19</v>
      </c>
      <c r="C706" s="8"/>
      <c r="D706" s="8"/>
      <c r="E706" s="8"/>
      <c r="F706" s="23">
        <f>SUM(F700:F705)</f>
        <v>239.2</v>
      </c>
    </row>
    <row r="707" spans="2:6" ht="17" thickBot="1">
      <c r="B707" s="8"/>
      <c r="C707" s="8"/>
      <c r="D707" s="8"/>
      <c r="E707" s="8"/>
    </row>
    <row r="708" spans="2:6" ht="15" thickTop="1" thickBot="1">
      <c r="B708" s="16" t="s">
        <v>20</v>
      </c>
      <c r="C708" s="17" t="s">
        <v>14</v>
      </c>
      <c r="D708" s="17" t="s">
        <v>15</v>
      </c>
      <c r="E708" s="17" t="s">
        <v>16</v>
      </c>
      <c r="F708" s="18" t="s">
        <v>17</v>
      </c>
    </row>
    <row r="709" spans="2:6" ht="17" thickTop="1">
      <c r="B709" s="8"/>
      <c r="C709" s="8"/>
      <c r="D709" s="8"/>
      <c r="E709" s="8"/>
    </row>
    <row r="710" spans="2:6">
      <c r="B710" s="24" t="s">
        <v>21</v>
      </c>
      <c r="C710" s="20" t="s">
        <v>22</v>
      </c>
      <c r="D710" s="20">
        <v>4.3999999999999997E-2</v>
      </c>
      <c r="E710" s="22">
        <v>27500</v>
      </c>
      <c r="F710" s="25">
        <f>E710*D710</f>
        <v>1210</v>
      </c>
    </row>
    <row r="711" spans="2:6">
      <c r="B711" s="20" t="s">
        <v>23</v>
      </c>
      <c r="C711" s="20" t="s">
        <v>22</v>
      </c>
      <c r="D711" s="20">
        <v>4.3999999999999997E-2</v>
      </c>
      <c r="E711" s="22">
        <v>15000</v>
      </c>
      <c r="F711" s="25">
        <f>E711*D711</f>
        <v>660</v>
      </c>
    </row>
    <row r="712" spans="2:6" ht="16">
      <c r="B712" s="26"/>
      <c r="C712" s="26"/>
      <c r="D712" s="26"/>
      <c r="E712" s="26"/>
      <c r="F712" s="25">
        <f>E712*D712</f>
        <v>0</v>
      </c>
    </row>
    <row r="713" spans="2:6" ht="16">
      <c r="B713" s="26"/>
      <c r="C713" s="26"/>
      <c r="D713" s="26"/>
      <c r="E713" s="26"/>
      <c r="F713" s="25">
        <f>E713*D713</f>
        <v>0</v>
      </c>
    </row>
    <row r="714" spans="2:6" ht="16">
      <c r="B714" s="27" t="s">
        <v>25</v>
      </c>
      <c r="C714" s="27" t="s">
        <v>26</v>
      </c>
      <c r="D714" s="28">
        <v>0.32</v>
      </c>
      <c r="E714" s="29">
        <f>SUM(E710:E713)*D714</f>
        <v>13600</v>
      </c>
      <c r="F714" s="25">
        <f>SUM(F710:F713)*D714</f>
        <v>598.4</v>
      </c>
    </row>
    <row r="715" spans="2:6" ht="16">
      <c r="B715" s="8"/>
      <c r="C715" s="8"/>
      <c r="D715" s="8"/>
      <c r="E715" s="8"/>
    </row>
    <row r="716" spans="2:6" ht="17" thickBot="1">
      <c r="B716" s="6" t="s">
        <v>27</v>
      </c>
      <c r="C716" s="8"/>
      <c r="D716" s="8"/>
      <c r="E716" s="8"/>
      <c r="F716" s="23">
        <f>SUM(F710:F715)</f>
        <v>2468.4</v>
      </c>
    </row>
    <row r="717" spans="2:6" ht="17" thickBot="1">
      <c r="B717" s="8"/>
      <c r="C717" s="8"/>
      <c r="D717" s="8"/>
      <c r="E717" s="8"/>
    </row>
    <row r="718" spans="2:6" ht="15" thickTop="1" thickBot="1">
      <c r="B718" s="16" t="s">
        <v>28</v>
      </c>
      <c r="C718" s="17" t="s">
        <v>14</v>
      </c>
      <c r="D718" s="17" t="s">
        <v>15</v>
      </c>
      <c r="E718" s="17" t="s">
        <v>16</v>
      </c>
      <c r="F718" s="18" t="s">
        <v>17</v>
      </c>
    </row>
    <row r="719" spans="2:6" ht="17" thickTop="1">
      <c r="B719" s="8"/>
      <c r="C719" s="8"/>
      <c r="D719" s="8"/>
      <c r="E719" s="8"/>
    </row>
    <row r="720" spans="2:6">
      <c r="B720" s="20"/>
      <c r="C720" s="20"/>
      <c r="D720" s="20"/>
      <c r="E720" s="22"/>
      <c r="F720" s="25">
        <f>E720*D720</f>
        <v>0</v>
      </c>
    </row>
    <row r="721" spans="2:6">
      <c r="B721" s="20" t="s">
        <v>31</v>
      </c>
      <c r="C721" s="20" t="s">
        <v>32</v>
      </c>
      <c r="D721" s="68">
        <v>0.01</v>
      </c>
      <c r="E721" s="22">
        <v>25000</v>
      </c>
      <c r="F721" s="25">
        <f>E721*D721</f>
        <v>250</v>
      </c>
    </row>
    <row r="722" spans="2:6" ht="16">
      <c r="B722" s="26"/>
      <c r="C722" s="26"/>
      <c r="D722" s="26"/>
      <c r="E722" s="26"/>
      <c r="F722" s="25">
        <f>E722*D722</f>
        <v>0</v>
      </c>
    </row>
    <row r="723" spans="2:6" ht="16">
      <c r="B723" s="26"/>
      <c r="C723" s="26"/>
      <c r="D723" s="26"/>
      <c r="E723" s="26"/>
      <c r="F723" s="25">
        <f>E723*D723</f>
        <v>0</v>
      </c>
    </row>
    <row r="724" spans="2:6" ht="16">
      <c r="B724" s="30"/>
      <c r="C724" s="26"/>
      <c r="D724" s="26"/>
      <c r="E724" s="26"/>
      <c r="F724" s="25">
        <f>E724*D724</f>
        <v>0</v>
      </c>
    </row>
    <row r="725" spans="2:6" ht="16">
      <c r="B725" s="8"/>
      <c r="C725" s="8"/>
      <c r="D725" s="8"/>
      <c r="E725" s="8"/>
    </row>
    <row r="726" spans="2:6" ht="14" thickBot="1">
      <c r="B726" s="19" t="s">
        <v>33</v>
      </c>
      <c r="C726" s="19"/>
      <c r="D726" s="19"/>
      <c r="E726" s="19"/>
      <c r="F726" s="23">
        <f>SUM(F720:F725)</f>
        <v>250</v>
      </c>
    </row>
    <row r="727" spans="2:6" ht="16">
      <c r="B727" s="8"/>
      <c r="C727" s="8"/>
      <c r="D727" s="8"/>
      <c r="E727" s="8"/>
    </row>
    <row r="728" spans="2:6" ht="17" thickBot="1">
      <c r="B728" s="8"/>
      <c r="C728" s="8"/>
      <c r="D728" s="8"/>
      <c r="E728" s="8"/>
    </row>
    <row r="729" spans="2:6" ht="17" thickBot="1">
      <c r="B729" s="31" t="s">
        <v>34</v>
      </c>
      <c r="C729" s="13"/>
      <c r="D729" s="13"/>
      <c r="E729" s="13"/>
      <c r="F729" s="32">
        <f>F706+F716+F726</f>
        <v>2957.6</v>
      </c>
    </row>
    <row r="730" spans="2:6" ht="17" thickBot="1">
      <c r="B730" s="31" t="s">
        <v>35</v>
      </c>
      <c r="C730" s="13"/>
      <c r="D730" s="13"/>
      <c r="E730" s="33">
        <f>E616</f>
        <v>0.1</v>
      </c>
      <c r="F730" s="32">
        <f>F729*E730</f>
        <v>295.76</v>
      </c>
    </row>
    <row r="731" spans="2:6" ht="17" thickBot="1">
      <c r="B731" s="31" t="s">
        <v>36</v>
      </c>
      <c r="C731" s="13"/>
      <c r="D731" s="13"/>
      <c r="E731" s="33">
        <f>E617</f>
        <v>0.1</v>
      </c>
      <c r="F731" s="32">
        <f>F729*E731</f>
        <v>295.76</v>
      </c>
    </row>
    <row r="732" spans="2:6" ht="17" thickBot="1">
      <c r="B732" s="34" t="s">
        <v>37</v>
      </c>
      <c r="C732" s="35"/>
      <c r="D732" s="35"/>
      <c r="E732" s="35"/>
      <c r="F732" s="32">
        <f>SUM(F729:F731)</f>
        <v>3549.12</v>
      </c>
    </row>
    <row r="733" spans="2:6" ht="17" thickBot="1">
      <c r="B733" s="36"/>
      <c r="C733" s="8"/>
      <c r="D733" s="8"/>
      <c r="E733" s="8"/>
    </row>
    <row r="734" spans="2:6" ht="18" thickTop="1" thickBot="1">
      <c r="B734" s="37" t="s">
        <v>38</v>
      </c>
      <c r="C734" s="8"/>
      <c r="D734" s="8"/>
      <c r="E734" s="8"/>
    </row>
    <row r="735" spans="2:6" ht="18" thickTop="1" thickBot="1">
      <c r="B735" s="8"/>
      <c r="C735" s="8"/>
      <c r="D735" s="8"/>
      <c r="E735" s="8"/>
    </row>
    <row r="736" spans="2:6" ht="17" thickTop="1">
      <c r="B736" s="38"/>
      <c r="C736" s="13"/>
      <c r="D736" s="13"/>
      <c r="E736" s="39"/>
      <c r="F736" s="40"/>
    </row>
    <row r="737" spans="2:6" ht="16">
      <c r="B737" s="38"/>
      <c r="C737" s="13"/>
      <c r="D737" s="13"/>
      <c r="E737" s="41"/>
      <c r="F737" s="42"/>
    </row>
    <row r="738" spans="2:6" ht="16">
      <c r="B738" s="38"/>
      <c r="C738" s="13"/>
      <c r="D738" s="13"/>
      <c r="E738" s="41"/>
      <c r="F738" s="42"/>
    </row>
    <row r="739" spans="2:6" ht="17" thickBot="1">
      <c r="B739" s="54"/>
      <c r="C739" s="35"/>
      <c r="D739" s="35"/>
      <c r="E739" s="44"/>
      <c r="F739" s="45"/>
    </row>
    <row r="740" spans="2:6" ht="17" thickTop="1">
      <c r="B740" s="46"/>
      <c r="C740" s="46"/>
      <c r="D740" s="46"/>
      <c r="E740" s="47"/>
      <c r="F740" s="47"/>
    </row>
    <row r="741" spans="2:6" ht="16">
      <c r="B741" s="46"/>
      <c r="C741" s="46"/>
      <c r="D741" s="46"/>
      <c r="E741" s="47"/>
      <c r="F741" s="47"/>
    </row>
    <row r="742" spans="2:6" ht="14" thickBot="1">
      <c r="B742" s="1" t="s">
        <v>0</v>
      </c>
      <c r="C742" s="1"/>
    </row>
    <row r="743" spans="2:6" ht="17" thickBot="1">
      <c r="B743" s="1" t="s">
        <v>1</v>
      </c>
      <c r="C743" s="1"/>
      <c r="E743" s="4" t="s">
        <v>2</v>
      </c>
      <c r="F743" s="5"/>
    </row>
    <row r="744" spans="2:6">
      <c r="B744" s="6"/>
    </row>
    <row r="745" spans="2:6" ht="16">
      <c r="B745" s="7" t="s">
        <v>3</v>
      </c>
      <c r="C745" s="7"/>
      <c r="D745" s="7"/>
      <c r="E745" s="7"/>
      <c r="F745" s="7"/>
    </row>
    <row r="746" spans="2:6" ht="16">
      <c r="B746" s="8"/>
      <c r="C746" s="8"/>
      <c r="D746" s="8"/>
      <c r="E746" s="8"/>
    </row>
    <row r="747" spans="2:6" ht="16">
      <c r="B747" s="9" t="s">
        <v>4</v>
      </c>
      <c r="C747" s="13" t="str">
        <f>C575</f>
        <v>MEJORAMIENTO ESPACIO PUBLICO JJVV LUCILA GODOY ALCAYAGA</v>
      </c>
      <c r="D747" s="13"/>
      <c r="E747" s="13"/>
      <c r="F747" s="14"/>
    </row>
    <row r="748" spans="2:6" ht="16">
      <c r="B748" s="12"/>
      <c r="C748" s="8"/>
      <c r="D748" s="8"/>
      <c r="E748" s="8"/>
    </row>
    <row r="749" spans="2:6" ht="16">
      <c r="B749" s="9" t="s">
        <v>5</v>
      </c>
      <c r="C749" s="13" t="s">
        <v>6</v>
      </c>
      <c r="D749" s="13"/>
      <c r="E749" s="13"/>
      <c r="F749" s="14"/>
    </row>
    <row r="750" spans="2:6" ht="16">
      <c r="B750" s="9"/>
      <c r="C750" s="13"/>
      <c r="D750" s="13"/>
      <c r="E750" s="13"/>
      <c r="F750" s="14"/>
    </row>
    <row r="751" spans="2:6" ht="16">
      <c r="B751" s="9" t="s">
        <v>7</v>
      </c>
      <c r="C751" s="13" t="str">
        <f>[1]LGA!A27</f>
        <v>2.1.5</v>
      </c>
      <c r="D751" s="13"/>
      <c r="E751" s="13"/>
      <c r="F751" s="14"/>
    </row>
    <row r="752" spans="2:6" ht="16">
      <c r="B752" s="9" t="s">
        <v>8</v>
      </c>
      <c r="C752" s="13" t="s">
        <v>103</v>
      </c>
      <c r="D752" s="13"/>
      <c r="E752" s="13"/>
      <c r="F752" s="14"/>
    </row>
    <row r="753" spans="2:6" ht="16">
      <c r="B753" s="9" t="s">
        <v>10</v>
      </c>
      <c r="C753" s="13" t="s">
        <v>87</v>
      </c>
      <c r="D753" s="13"/>
      <c r="E753" s="13"/>
      <c r="F753" s="14"/>
    </row>
    <row r="754" spans="2:6" ht="16">
      <c r="B754" s="9" t="s">
        <v>12</v>
      </c>
      <c r="C754" s="15">
        <f>C582</f>
        <v>46024</v>
      </c>
      <c r="D754" s="13"/>
      <c r="E754" s="13"/>
      <c r="F754" s="14"/>
    </row>
    <row r="755" spans="2:6" ht="17" thickBot="1">
      <c r="B755" s="8"/>
      <c r="C755" s="8"/>
      <c r="D755" s="8"/>
      <c r="E755" s="8"/>
    </row>
    <row r="756" spans="2:6" ht="15" thickTop="1" thickBot="1">
      <c r="B756" s="16" t="s">
        <v>13</v>
      </c>
      <c r="C756" s="17" t="s">
        <v>14</v>
      </c>
      <c r="D756" s="17" t="s">
        <v>15</v>
      </c>
      <c r="E756" s="17" t="s">
        <v>16</v>
      </c>
      <c r="F756" s="18" t="s">
        <v>17</v>
      </c>
    </row>
    <row r="757" spans="2:6" ht="14" thickTop="1">
      <c r="B757" s="19"/>
      <c r="C757" s="19"/>
      <c r="D757" s="19"/>
      <c r="E757" s="19"/>
      <c r="F757" s="19"/>
    </row>
    <row r="758" spans="2:6">
      <c r="B758" s="20" t="s">
        <v>104</v>
      </c>
      <c r="C758" s="21" t="s">
        <v>81</v>
      </c>
      <c r="D758" s="21">
        <v>1.1299999999999999</v>
      </c>
      <c r="E758" s="22">
        <v>120000</v>
      </c>
      <c r="F758" s="22">
        <f t="shared" ref="F758:F763" si="11">E758*D758</f>
        <v>135600</v>
      </c>
    </row>
    <row r="759" spans="2:6">
      <c r="B759" s="20"/>
      <c r="C759" s="21"/>
      <c r="D759" s="21"/>
      <c r="E759" s="22"/>
      <c r="F759" s="22">
        <f t="shared" si="11"/>
        <v>0</v>
      </c>
    </row>
    <row r="760" spans="2:6">
      <c r="B760" s="20"/>
      <c r="C760" s="21"/>
      <c r="D760" s="21"/>
      <c r="E760" s="22"/>
      <c r="F760" s="22">
        <f t="shared" si="11"/>
        <v>0</v>
      </c>
    </row>
    <row r="761" spans="2:6">
      <c r="B761" s="20"/>
      <c r="C761" s="21"/>
      <c r="D761" s="21"/>
      <c r="E761" s="22"/>
      <c r="F761" s="22">
        <f t="shared" si="11"/>
        <v>0</v>
      </c>
    </row>
    <row r="762" spans="2:6">
      <c r="B762" s="20"/>
      <c r="C762" s="21"/>
      <c r="D762" s="21"/>
      <c r="E762" s="22"/>
      <c r="F762" s="22">
        <f t="shared" si="11"/>
        <v>0</v>
      </c>
    </row>
    <row r="763" spans="2:6">
      <c r="B763" s="20"/>
      <c r="C763" s="21"/>
      <c r="D763" s="21"/>
      <c r="E763" s="22"/>
      <c r="F763" s="22">
        <f t="shared" si="11"/>
        <v>0</v>
      </c>
    </row>
    <row r="764" spans="2:6" ht="17" thickBot="1">
      <c r="B764" s="6" t="s">
        <v>19</v>
      </c>
      <c r="C764" s="8"/>
      <c r="D764" s="8"/>
      <c r="E764" s="8"/>
      <c r="F764" s="23">
        <f>SUM(F758:F763)</f>
        <v>135600</v>
      </c>
    </row>
    <row r="765" spans="2:6" ht="17" thickBot="1">
      <c r="B765" s="8"/>
      <c r="C765" s="8"/>
      <c r="D765" s="8"/>
      <c r="E765" s="8"/>
    </row>
    <row r="766" spans="2:6" ht="15" thickTop="1" thickBot="1">
      <c r="B766" s="16" t="s">
        <v>20</v>
      </c>
      <c r="C766" s="17" t="s">
        <v>14</v>
      </c>
      <c r="D766" s="17" t="s">
        <v>15</v>
      </c>
      <c r="E766" s="17" t="s">
        <v>16</v>
      </c>
      <c r="F766" s="18" t="s">
        <v>17</v>
      </c>
    </row>
    <row r="767" spans="2:6" ht="17" thickTop="1">
      <c r="B767" s="8"/>
      <c r="C767" s="8"/>
      <c r="D767" s="8"/>
      <c r="E767" s="8"/>
    </row>
    <row r="768" spans="2:6">
      <c r="B768" s="24" t="s">
        <v>21</v>
      </c>
      <c r="C768" s="20" t="s">
        <v>22</v>
      </c>
      <c r="D768" s="20">
        <v>0.44</v>
      </c>
      <c r="E768" s="22">
        <v>27500</v>
      </c>
      <c r="F768" s="25">
        <f>E768*D768</f>
        <v>12100</v>
      </c>
    </row>
    <row r="769" spans="2:6">
      <c r="B769" s="20" t="s">
        <v>23</v>
      </c>
      <c r="C769" s="20" t="s">
        <v>22</v>
      </c>
      <c r="D769" s="20">
        <v>0.44</v>
      </c>
      <c r="E769" s="22">
        <v>15000</v>
      </c>
      <c r="F769" s="25">
        <f>E769*D769</f>
        <v>6600</v>
      </c>
    </row>
    <row r="770" spans="2:6" ht="16">
      <c r="B770" s="26"/>
      <c r="C770" s="26"/>
      <c r="D770" s="26"/>
      <c r="E770" s="26"/>
      <c r="F770" s="25">
        <f>E770*D770</f>
        <v>0</v>
      </c>
    </row>
    <row r="771" spans="2:6" ht="16">
      <c r="B771" s="26"/>
      <c r="C771" s="26"/>
      <c r="D771" s="26"/>
      <c r="E771" s="26"/>
      <c r="F771" s="25">
        <f>E771*D771</f>
        <v>0</v>
      </c>
    </row>
    <row r="772" spans="2:6" ht="16">
      <c r="B772" s="27" t="s">
        <v>25</v>
      </c>
      <c r="C772" s="27" t="s">
        <v>26</v>
      </c>
      <c r="D772" s="28">
        <v>0.32</v>
      </c>
      <c r="E772" s="29">
        <f>SUM(E768:E771)*D772</f>
        <v>13600</v>
      </c>
      <c r="F772" s="25">
        <f>E772*D772</f>
        <v>4352</v>
      </c>
    </row>
    <row r="773" spans="2:6" ht="16">
      <c r="B773" s="8"/>
      <c r="C773" s="8"/>
      <c r="D773" s="8"/>
      <c r="E773" s="8"/>
    </row>
    <row r="774" spans="2:6" ht="17" thickBot="1">
      <c r="B774" s="6" t="s">
        <v>27</v>
      </c>
      <c r="C774" s="8"/>
      <c r="D774" s="8"/>
      <c r="E774" s="8"/>
      <c r="F774" s="23">
        <f>SUM(F768:F773)</f>
        <v>23052</v>
      </c>
    </row>
    <row r="775" spans="2:6" ht="17" thickBot="1">
      <c r="B775" s="8"/>
      <c r="C775" s="8"/>
      <c r="D775" s="8"/>
      <c r="E775" s="8"/>
    </row>
    <row r="776" spans="2:6" ht="15" thickTop="1" thickBot="1">
      <c r="B776" s="16" t="s">
        <v>28</v>
      </c>
      <c r="C776" s="17" t="s">
        <v>14</v>
      </c>
      <c r="D776" s="17" t="s">
        <v>15</v>
      </c>
      <c r="E776" s="17" t="s">
        <v>16</v>
      </c>
      <c r="F776" s="18" t="s">
        <v>17</v>
      </c>
    </row>
    <row r="777" spans="2:6" ht="17" thickTop="1">
      <c r="B777" s="8"/>
      <c r="C777" s="8"/>
      <c r="D777" s="8"/>
      <c r="E777" s="8"/>
    </row>
    <row r="778" spans="2:6">
      <c r="B778" s="20"/>
      <c r="C778" s="20"/>
      <c r="D778" s="20"/>
      <c r="E778" s="22"/>
      <c r="F778" s="25">
        <f>E778*D778</f>
        <v>0</v>
      </c>
    </row>
    <row r="779" spans="2:6">
      <c r="B779" s="20" t="s">
        <v>105</v>
      </c>
      <c r="C779" s="20" t="s">
        <v>32</v>
      </c>
      <c r="D779" s="68">
        <v>0.1</v>
      </c>
      <c r="E779" s="22">
        <v>25000</v>
      </c>
      <c r="F779" s="25">
        <f>E779*D779</f>
        <v>2500</v>
      </c>
    </row>
    <row r="780" spans="2:6">
      <c r="B780" s="20" t="s">
        <v>106</v>
      </c>
      <c r="C780" s="20" t="s">
        <v>32</v>
      </c>
      <c r="D780" s="68">
        <v>0.1</v>
      </c>
      <c r="E780" s="22">
        <v>86000</v>
      </c>
      <c r="F780" s="25">
        <f>E780*D780</f>
        <v>8600</v>
      </c>
    </row>
    <row r="781" spans="2:6">
      <c r="B781" s="20" t="s">
        <v>51</v>
      </c>
      <c r="C781" s="20" t="s">
        <v>32</v>
      </c>
      <c r="D781" s="68">
        <v>0.1</v>
      </c>
      <c r="E781" s="22">
        <v>24000</v>
      </c>
      <c r="F781" s="25">
        <f>E781*D781</f>
        <v>2400</v>
      </c>
    </row>
    <row r="782" spans="2:6" ht="16">
      <c r="B782" s="30"/>
      <c r="C782" s="26"/>
      <c r="D782" s="26"/>
      <c r="E782" s="26"/>
      <c r="F782" s="25">
        <f>E782*D782</f>
        <v>0</v>
      </c>
    </row>
    <row r="783" spans="2:6" ht="16">
      <c r="B783" s="8"/>
      <c r="C783" s="8"/>
      <c r="D783" s="8"/>
      <c r="E783" s="8"/>
    </row>
    <row r="784" spans="2:6" ht="14" thickBot="1">
      <c r="B784" s="19" t="s">
        <v>33</v>
      </c>
      <c r="C784" s="19"/>
      <c r="D784" s="19"/>
      <c r="E784" s="19"/>
      <c r="F784" s="23">
        <f>SUM(F778:F783)</f>
        <v>13500</v>
      </c>
    </row>
    <row r="785" spans="2:6" ht="16">
      <c r="B785" s="8"/>
      <c r="C785" s="8"/>
      <c r="D785" s="8"/>
      <c r="E785" s="8"/>
    </row>
    <row r="786" spans="2:6" ht="17" thickBot="1">
      <c r="B786" s="8"/>
      <c r="C786" s="8"/>
      <c r="D786" s="8"/>
      <c r="E786" s="8"/>
    </row>
    <row r="787" spans="2:6" ht="17" thickBot="1">
      <c r="B787" s="31" t="s">
        <v>34</v>
      </c>
      <c r="C787" s="13"/>
      <c r="D787" s="13"/>
      <c r="E787" s="13"/>
      <c r="F787" s="32">
        <f>F764+F774+F784</f>
        <v>172152</v>
      </c>
    </row>
    <row r="788" spans="2:6" ht="17" thickBot="1">
      <c r="B788" s="31" t="s">
        <v>35</v>
      </c>
      <c r="C788" s="13"/>
      <c r="D788" s="13"/>
      <c r="E788" s="33">
        <v>0.1</v>
      </c>
      <c r="F788" s="32">
        <f>F787*E788</f>
        <v>17215.2</v>
      </c>
    </row>
    <row r="789" spans="2:6" ht="17" thickBot="1">
      <c r="B789" s="31" t="s">
        <v>36</v>
      </c>
      <c r="C789" s="13"/>
      <c r="D789" s="13"/>
      <c r="E789" s="33">
        <v>0.1</v>
      </c>
      <c r="F789" s="32">
        <f>F787*E789</f>
        <v>17215.2</v>
      </c>
    </row>
    <row r="790" spans="2:6" ht="17" thickBot="1">
      <c r="B790" s="34" t="s">
        <v>37</v>
      </c>
      <c r="C790" s="35"/>
      <c r="D790" s="35"/>
      <c r="E790" s="35"/>
      <c r="F790" s="32">
        <f>SUM(F787:F789)</f>
        <v>206582.40000000002</v>
      </c>
    </row>
    <row r="791" spans="2:6" ht="17" thickBot="1">
      <c r="B791" s="36"/>
      <c r="C791" s="8"/>
      <c r="D791" s="8"/>
      <c r="E791" s="8"/>
    </row>
    <row r="792" spans="2:6" ht="18" thickTop="1" thickBot="1">
      <c r="B792" s="37" t="s">
        <v>38</v>
      </c>
      <c r="C792" s="8"/>
      <c r="D792" s="8"/>
      <c r="E792" s="8"/>
    </row>
    <row r="793" spans="2:6" ht="18" thickTop="1" thickBot="1">
      <c r="B793" s="8"/>
      <c r="C793" s="8"/>
      <c r="D793" s="8"/>
      <c r="E793" s="8"/>
    </row>
    <row r="794" spans="2:6" ht="17" thickTop="1">
      <c r="B794" s="38"/>
      <c r="C794" s="13"/>
      <c r="D794" s="13"/>
      <c r="E794" s="39"/>
      <c r="F794" s="40"/>
    </row>
    <row r="795" spans="2:6" ht="16">
      <c r="B795" s="38"/>
      <c r="C795" s="13"/>
      <c r="D795" s="13"/>
      <c r="E795" s="41"/>
      <c r="F795" s="42"/>
    </row>
    <row r="796" spans="2:6" ht="16">
      <c r="B796" s="38"/>
      <c r="C796" s="13"/>
      <c r="D796" s="13"/>
      <c r="E796" s="41"/>
      <c r="F796" s="42"/>
    </row>
    <row r="797" spans="2:6" ht="17" thickBot="1">
      <c r="B797" s="54"/>
      <c r="C797" s="35"/>
      <c r="D797" s="35"/>
      <c r="E797" s="44"/>
      <c r="F797" s="45"/>
    </row>
    <row r="798" spans="2:6" ht="17" thickTop="1">
      <c r="B798" s="46"/>
      <c r="C798" s="46"/>
      <c r="D798" s="46"/>
      <c r="E798" s="47"/>
      <c r="F798" s="47"/>
    </row>
    <row r="799" spans="2:6" ht="14" thickBot="1">
      <c r="B799" s="1" t="s">
        <v>0</v>
      </c>
      <c r="C799" s="1"/>
    </row>
    <row r="800" spans="2:6" ht="17" thickBot="1">
      <c r="B800" s="1" t="s">
        <v>1</v>
      </c>
      <c r="C800" s="1"/>
      <c r="E800" s="4" t="s">
        <v>2</v>
      </c>
      <c r="F800" s="5"/>
    </row>
    <row r="801" spans="2:6">
      <c r="B801" s="6"/>
    </row>
    <row r="802" spans="2:6" ht="16">
      <c r="B802" s="7" t="s">
        <v>3</v>
      </c>
      <c r="C802" s="7"/>
      <c r="D802" s="7"/>
      <c r="E802" s="7"/>
      <c r="F802" s="7"/>
    </row>
    <row r="803" spans="2:6" ht="16">
      <c r="B803" s="8"/>
      <c r="C803" s="8"/>
      <c r="D803" s="8"/>
      <c r="E803" s="8"/>
    </row>
    <row r="804" spans="2:6" ht="26" customHeight="1">
      <c r="B804" s="9" t="s">
        <v>4</v>
      </c>
      <c r="C804" s="10" t="str">
        <f>C747</f>
        <v>MEJORAMIENTO ESPACIO PUBLICO JJVV LUCILA GODOY ALCAYAGA</v>
      </c>
      <c r="D804" s="10"/>
      <c r="E804" s="10"/>
      <c r="F804" s="11"/>
    </row>
    <row r="805" spans="2:6" ht="16">
      <c r="B805" s="12"/>
      <c r="C805" s="8"/>
      <c r="D805" s="8"/>
      <c r="E805" s="8"/>
    </row>
    <row r="806" spans="2:6" ht="16">
      <c r="B806" s="9" t="s">
        <v>5</v>
      </c>
      <c r="C806" s="13" t="s">
        <v>6</v>
      </c>
      <c r="D806" s="13"/>
      <c r="E806" s="13"/>
      <c r="F806" s="14"/>
    </row>
    <row r="807" spans="2:6" ht="16">
      <c r="B807" s="9"/>
      <c r="C807" s="13"/>
      <c r="D807" s="13"/>
      <c r="E807" s="13"/>
      <c r="F807" s="14"/>
    </row>
    <row r="808" spans="2:6" ht="16">
      <c r="B808" s="9" t="s">
        <v>7</v>
      </c>
      <c r="C808" s="13" t="str">
        <f>[1]LGA!A28</f>
        <v>2.1.6</v>
      </c>
      <c r="D808" s="13"/>
      <c r="E808" s="13"/>
      <c r="F808" s="14"/>
    </row>
    <row r="809" spans="2:6" ht="16">
      <c r="B809" s="9" t="s">
        <v>8</v>
      </c>
      <c r="C809" s="13" t="s">
        <v>107</v>
      </c>
      <c r="D809" s="13"/>
      <c r="E809" s="13"/>
      <c r="F809" s="14"/>
    </row>
    <row r="810" spans="2:6" ht="16">
      <c r="B810" s="9" t="s">
        <v>10</v>
      </c>
      <c r="C810" s="13" t="s">
        <v>102</v>
      </c>
      <c r="D810" s="13"/>
      <c r="E810" s="13"/>
      <c r="F810" s="14"/>
    </row>
    <row r="811" spans="2:6" ht="16">
      <c r="B811" s="9" t="s">
        <v>12</v>
      </c>
      <c r="C811" s="15">
        <f>C754</f>
        <v>46024</v>
      </c>
      <c r="D811" s="13"/>
      <c r="E811" s="13"/>
      <c r="F811" s="14"/>
    </row>
    <row r="812" spans="2:6" ht="17" thickBot="1">
      <c r="B812" s="8"/>
      <c r="C812" s="8"/>
      <c r="D812" s="8"/>
      <c r="E812" s="8"/>
    </row>
    <row r="813" spans="2:6" ht="15" thickTop="1" thickBot="1">
      <c r="B813" s="16" t="s">
        <v>13</v>
      </c>
      <c r="C813" s="17" t="s">
        <v>14</v>
      </c>
      <c r="D813" s="17" t="s">
        <v>15</v>
      </c>
      <c r="E813" s="17" t="s">
        <v>16</v>
      </c>
      <c r="F813" s="18" t="s">
        <v>17</v>
      </c>
    </row>
    <row r="814" spans="2:6" ht="14" thickTop="1">
      <c r="B814" s="19"/>
      <c r="C814" s="19"/>
      <c r="D814" s="19"/>
      <c r="E814" s="19"/>
      <c r="F814" s="19"/>
    </row>
    <row r="815" spans="2:6">
      <c r="B815" s="20" t="s">
        <v>108</v>
      </c>
      <c r="C815" s="21" t="s">
        <v>43</v>
      </c>
      <c r="D815" s="21">
        <v>0.02</v>
      </c>
      <c r="E815" s="22">
        <v>45000</v>
      </c>
      <c r="F815" s="22">
        <f t="shared" ref="F815:F820" si="12">E815*D815</f>
        <v>900</v>
      </c>
    </row>
    <row r="816" spans="2:6">
      <c r="B816" s="20" t="s">
        <v>109</v>
      </c>
      <c r="C816" s="21" t="s">
        <v>43</v>
      </c>
      <c r="D816" s="21">
        <v>0.1</v>
      </c>
      <c r="E816" s="22">
        <v>1200</v>
      </c>
      <c r="F816" s="22">
        <f t="shared" si="12"/>
        <v>120</v>
      </c>
    </row>
    <row r="817" spans="2:6">
      <c r="B817" s="20" t="s">
        <v>110</v>
      </c>
      <c r="C817" s="21" t="s">
        <v>49</v>
      </c>
      <c r="D817" s="21">
        <v>0.01</v>
      </c>
      <c r="E817" s="22">
        <v>35000</v>
      </c>
      <c r="F817" s="22">
        <f t="shared" si="12"/>
        <v>350</v>
      </c>
    </row>
    <row r="818" spans="2:6">
      <c r="B818" s="20"/>
      <c r="C818" s="21"/>
      <c r="D818" s="21"/>
      <c r="E818" s="22"/>
      <c r="F818" s="22">
        <f t="shared" si="12"/>
        <v>0</v>
      </c>
    </row>
    <row r="819" spans="2:6">
      <c r="B819" s="20"/>
      <c r="C819" s="21"/>
      <c r="D819" s="21"/>
      <c r="E819" s="22"/>
      <c r="F819" s="22">
        <f t="shared" si="12"/>
        <v>0</v>
      </c>
    </row>
    <row r="820" spans="2:6">
      <c r="B820" s="20"/>
      <c r="C820" s="21"/>
      <c r="D820" s="21"/>
      <c r="E820" s="22"/>
      <c r="F820" s="22">
        <f t="shared" si="12"/>
        <v>0</v>
      </c>
    </row>
    <row r="821" spans="2:6" ht="17" thickBot="1">
      <c r="B821" s="6" t="s">
        <v>19</v>
      </c>
      <c r="C821" s="8"/>
      <c r="D821" s="8"/>
      <c r="E821" s="8"/>
      <c r="F821" s="23">
        <f>SUM(F815:F820)</f>
        <v>1370</v>
      </c>
    </row>
    <row r="822" spans="2:6" ht="17" thickBot="1">
      <c r="B822" s="8"/>
      <c r="C822" s="8"/>
      <c r="D822" s="8"/>
      <c r="E822" s="8"/>
    </row>
    <row r="823" spans="2:6" ht="15" thickTop="1" thickBot="1">
      <c r="B823" s="16" t="s">
        <v>20</v>
      </c>
      <c r="C823" s="17" t="s">
        <v>14</v>
      </c>
      <c r="D823" s="17" t="s">
        <v>15</v>
      </c>
      <c r="E823" s="17" t="s">
        <v>16</v>
      </c>
      <c r="F823" s="18" t="s">
        <v>17</v>
      </c>
    </row>
    <row r="824" spans="2:6" ht="17" thickTop="1">
      <c r="B824" s="8"/>
      <c r="C824" s="8"/>
      <c r="D824" s="8"/>
      <c r="E824" s="8"/>
    </row>
    <row r="825" spans="2:6">
      <c r="B825" s="24" t="s">
        <v>21</v>
      </c>
      <c r="C825" s="20" t="s">
        <v>22</v>
      </c>
      <c r="D825" s="20">
        <v>4.3999999999999997E-2</v>
      </c>
      <c r="E825" s="22">
        <v>27500</v>
      </c>
      <c r="F825" s="25">
        <f>E825*D825</f>
        <v>1210</v>
      </c>
    </row>
    <row r="826" spans="2:6">
      <c r="B826" s="20" t="s">
        <v>23</v>
      </c>
      <c r="C826" s="20" t="s">
        <v>22</v>
      </c>
      <c r="D826" s="20">
        <v>4.3999999999999997E-2</v>
      </c>
      <c r="E826" s="22">
        <v>15000</v>
      </c>
      <c r="F826" s="25">
        <f>E826*D826</f>
        <v>660</v>
      </c>
    </row>
    <row r="827" spans="2:6" ht="16">
      <c r="B827" s="26"/>
      <c r="C827" s="26"/>
      <c r="D827" s="26"/>
      <c r="E827" s="26"/>
      <c r="F827" s="25">
        <f>E827*D827</f>
        <v>0</v>
      </c>
    </row>
    <row r="828" spans="2:6" ht="16">
      <c r="B828" s="26"/>
      <c r="C828" s="26"/>
      <c r="D828" s="26"/>
      <c r="E828" s="26"/>
      <c r="F828" s="25">
        <f>E828*D828</f>
        <v>0</v>
      </c>
    </row>
    <row r="829" spans="2:6" ht="16">
      <c r="B829" s="27" t="s">
        <v>25</v>
      </c>
      <c r="C829" s="27" t="s">
        <v>26</v>
      </c>
      <c r="D829" s="28">
        <v>0.32</v>
      </c>
      <c r="E829" s="29">
        <f>SUM(E825:E828)*D829</f>
        <v>13600</v>
      </c>
      <c r="F829" s="25">
        <f>SUM(F825:F828)*D829</f>
        <v>598.4</v>
      </c>
    </row>
    <row r="830" spans="2:6" ht="16">
      <c r="B830" s="8"/>
      <c r="C830" s="8"/>
      <c r="D830" s="8"/>
      <c r="E830" s="8"/>
    </row>
    <row r="831" spans="2:6" ht="17" thickBot="1">
      <c r="B831" s="6" t="s">
        <v>27</v>
      </c>
      <c r="C831" s="8"/>
      <c r="D831" s="8"/>
      <c r="E831" s="8"/>
      <c r="F831" s="23">
        <f>SUM(F825:F830)</f>
        <v>2468.4</v>
      </c>
    </row>
    <row r="832" spans="2:6" ht="17" thickBot="1">
      <c r="B832" s="8"/>
      <c r="C832" s="8"/>
      <c r="D832" s="8"/>
      <c r="E832" s="8"/>
    </row>
    <row r="833" spans="2:6" ht="15" thickTop="1" thickBot="1">
      <c r="B833" s="16" t="s">
        <v>28</v>
      </c>
      <c r="C833" s="17" t="s">
        <v>14</v>
      </c>
      <c r="D833" s="17" t="s">
        <v>15</v>
      </c>
      <c r="E833" s="17" t="s">
        <v>16</v>
      </c>
      <c r="F833" s="18" t="s">
        <v>17</v>
      </c>
    </row>
    <row r="834" spans="2:6" ht="17" thickTop="1">
      <c r="B834" s="8"/>
      <c r="C834" s="8"/>
      <c r="D834" s="8"/>
      <c r="E834" s="8"/>
    </row>
    <row r="835" spans="2:6">
      <c r="B835" s="20"/>
      <c r="C835" s="20"/>
      <c r="D835" s="20"/>
      <c r="E835" s="22"/>
      <c r="F835" s="25">
        <f>E835*D835</f>
        <v>0</v>
      </c>
    </row>
    <row r="836" spans="2:6">
      <c r="B836" s="20" t="s">
        <v>31</v>
      </c>
      <c r="C836" s="20" t="s">
        <v>32</v>
      </c>
      <c r="D836" s="68">
        <v>0.01</v>
      </c>
      <c r="E836" s="22">
        <v>25000</v>
      </c>
      <c r="F836" s="25">
        <f>E836*D836</f>
        <v>250</v>
      </c>
    </row>
    <row r="837" spans="2:6" ht="16">
      <c r="B837" s="26"/>
      <c r="C837" s="26"/>
      <c r="D837" s="26"/>
      <c r="E837" s="26"/>
      <c r="F837" s="25">
        <f>E837*D837</f>
        <v>0</v>
      </c>
    </row>
    <row r="838" spans="2:6" ht="16">
      <c r="B838" s="26"/>
      <c r="C838" s="26"/>
      <c r="D838" s="26"/>
      <c r="E838" s="26"/>
      <c r="F838" s="25">
        <f>E838*D838</f>
        <v>0</v>
      </c>
    </row>
    <row r="839" spans="2:6" ht="16">
      <c r="B839" s="30"/>
      <c r="C839" s="26"/>
      <c r="D839" s="26"/>
      <c r="E839" s="26"/>
      <c r="F839" s="25">
        <f>E839*D839</f>
        <v>0</v>
      </c>
    </row>
    <row r="840" spans="2:6" ht="16">
      <c r="B840" s="8"/>
      <c r="C840" s="8"/>
      <c r="D840" s="8"/>
      <c r="E840" s="8"/>
    </row>
    <row r="841" spans="2:6" ht="14" thickBot="1">
      <c r="B841" s="19" t="s">
        <v>33</v>
      </c>
      <c r="C841" s="19"/>
      <c r="D841" s="19"/>
      <c r="E841" s="19"/>
      <c r="F841" s="23">
        <f>SUM(F835:F840)</f>
        <v>250</v>
      </c>
    </row>
    <row r="842" spans="2:6" ht="16">
      <c r="B842" s="8"/>
      <c r="C842" s="8"/>
      <c r="D842" s="8"/>
      <c r="E842" s="8"/>
    </row>
    <row r="843" spans="2:6" ht="17" thickBot="1">
      <c r="B843" s="8"/>
      <c r="C843" s="8"/>
      <c r="D843" s="8"/>
      <c r="E843" s="8"/>
    </row>
    <row r="844" spans="2:6" ht="17" thickBot="1">
      <c r="B844" s="31" t="s">
        <v>34</v>
      </c>
      <c r="C844" s="13"/>
      <c r="D844" s="13"/>
      <c r="E844" s="13"/>
      <c r="F844" s="32">
        <f>F821+F831+F841</f>
        <v>4088.4</v>
      </c>
    </row>
    <row r="845" spans="2:6" ht="17" thickBot="1">
      <c r="B845" s="31" t="s">
        <v>35</v>
      </c>
      <c r="C845" s="13"/>
      <c r="D845" s="13"/>
      <c r="E845" s="33">
        <f>E788</f>
        <v>0.1</v>
      </c>
      <c r="F845" s="32">
        <f>F844*E845</f>
        <v>408.84000000000003</v>
      </c>
    </row>
    <row r="846" spans="2:6" ht="17" thickBot="1">
      <c r="B846" s="31" t="s">
        <v>36</v>
      </c>
      <c r="C846" s="13"/>
      <c r="D846" s="13"/>
      <c r="E846" s="33">
        <f>E789</f>
        <v>0.1</v>
      </c>
      <c r="F846" s="32">
        <f>F844*E846</f>
        <v>408.84000000000003</v>
      </c>
    </row>
    <row r="847" spans="2:6" ht="17" thickBot="1">
      <c r="B847" s="34" t="s">
        <v>37</v>
      </c>
      <c r="C847" s="35"/>
      <c r="D847" s="35"/>
      <c r="E847" s="35"/>
      <c r="F847" s="32">
        <f>SUM(F844:F846)</f>
        <v>4906.08</v>
      </c>
    </row>
    <row r="848" spans="2:6" ht="17" thickBot="1">
      <c r="B848" s="36"/>
      <c r="C848" s="8"/>
      <c r="D848" s="8"/>
      <c r="E848" s="8"/>
    </row>
    <row r="849" spans="2:6" ht="18" thickTop="1" thickBot="1">
      <c r="B849" s="37" t="s">
        <v>38</v>
      </c>
      <c r="C849" s="8"/>
      <c r="D849" s="8"/>
      <c r="E849" s="8"/>
    </row>
    <row r="850" spans="2:6" ht="18" thickTop="1" thickBot="1">
      <c r="B850" s="8"/>
      <c r="C850" s="8"/>
      <c r="D850" s="8"/>
      <c r="E850" s="8"/>
    </row>
    <row r="851" spans="2:6" ht="17" thickTop="1">
      <c r="B851" s="38"/>
      <c r="C851" s="13"/>
      <c r="D851" s="13"/>
      <c r="E851" s="39"/>
      <c r="F851" s="40"/>
    </row>
    <row r="852" spans="2:6" ht="16">
      <c r="B852" s="38"/>
      <c r="C852" s="13"/>
      <c r="D852" s="13"/>
      <c r="E852" s="41"/>
      <c r="F852" s="42"/>
    </row>
    <row r="853" spans="2:6" ht="16">
      <c r="B853" s="38"/>
      <c r="C853" s="13"/>
      <c r="D853" s="13"/>
      <c r="E853" s="41"/>
      <c r="F853" s="42"/>
    </row>
    <row r="854" spans="2:6" ht="17" thickBot="1">
      <c r="B854" s="54"/>
      <c r="C854" s="35"/>
      <c r="D854" s="35"/>
      <c r="E854" s="44"/>
      <c r="F854" s="45"/>
    </row>
    <row r="855" spans="2:6" ht="17" thickTop="1">
      <c r="B855" s="46"/>
      <c r="C855" s="46"/>
      <c r="D855" s="46"/>
      <c r="E855" s="47"/>
      <c r="F855" s="47"/>
    </row>
    <row r="856" spans="2:6" ht="14" thickBot="1">
      <c r="B856" s="1" t="s">
        <v>0</v>
      </c>
      <c r="C856" s="1"/>
    </row>
    <row r="857" spans="2:6" ht="17" thickBot="1">
      <c r="B857" s="1" t="s">
        <v>1</v>
      </c>
      <c r="C857" s="1"/>
      <c r="E857" s="4" t="s">
        <v>2</v>
      </c>
      <c r="F857" s="5"/>
    </row>
    <row r="858" spans="2:6">
      <c r="B858" s="6"/>
    </row>
    <row r="859" spans="2:6" ht="18" customHeight="1">
      <c r="B859" s="7" t="s">
        <v>3</v>
      </c>
      <c r="C859" s="7"/>
      <c r="D859" s="7"/>
      <c r="E859" s="7"/>
      <c r="F859" s="7"/>
    </row>
    <row r="860" spans="2:6" ht="16">
      <c r="B860" s="8"/>
      <c r="C860" s="8"/>
      <c r="D860" s="8"/>
      <c r="E860" s="8"/>
    </row>
    <row r="861" spans="2:6" ht="22" customHeight="1">
      <c r="B861" s="9" t="s">
        <v>4</v>
      </c>
      <c r="C861" s="69" t="str">
        <f>C689</f>
        <v>MEJORAMIENTO ESPACIO PUBLICO JJVV LUCILA GODOY ALCAYAGA</v>
      </c>
      <c r="D861" s="69"/>
      <c r="E861" s="69"/>
      <c r="F861" s="70"/>
    </row>
    <row r="862" spans="2:6" ht="16">
      <c r="B862" s="12"/>
      <c r="C862" s="8"/>
      <c r="D862" s="8"/>
      <c r="E862" s="8"/>
    </row>
    <row r="863" spans="2:6" ht="16">
      <c r="B863" s="9" t="s">
        <v>5</v>
      </c>
      <c r="C863" s="13" t="s">
        <v>6</v>
      </c>
      <c r="D863" s="13"/>
      <c r="E863" s="13"/>
      <c r="F863" s="14"/>
    </row>
    <row r="864" spans="2:6" ht="16">
      <c r="B864" s="9"/>
      <c r="C864" s="13"/>
      <c r="D864" s="13"/>
      <c r="E864" s="13"/>
      <c r="F864" s="14"/>
    </row>
    <row r="865" spans="2:6" ht="16">
      <c r="B865" s="9" t="s">
        <v>7</v>
      </c>
      <c r="C865" s="13" t="str">
        <f>[1]LGA!A29</f>
        <v>2.1.7</v>
      </c>
      <c r="D865" s="13"/>
      <c r="E865" s="13"/>
      <c r="F865" s="14"/>
    </row>
    <row r="866" spans="2:6" ht="16">
      <c r="B866" s="9" t="s">
        <v>8</v>
      </c>
      <c r="C866" s="13" t="s">
        <v>111</v>
      </c>
      <c r="D866" s="13"/>
      <c r="E866" s="13"/>
      <c r="F866" s="14"/>
    </row>
    <row r="867" spans="2:6" ht="16">
      <c r="B867" s="9" t="s">
        <v>10</v>
      </c>
      <c r="C867" s="13" t="str">
        <f>'[3]PRESUPUESTO OFICIAL'!D25</f>
        <v>m3</v>
      </c>
      <c r="D867" s="13"/>
      <c r="E867" s="13"/>
      <c r="F867" s="14"/>
    </row>
    <row r="868" spans="2:6" ht="16">
      <c r="B868" s="9" t="s">
        <v>12</v>
      </c>
      <c r="C868" s="15">
        <f>C696</f>
        <v>46024</v>
      </c>
      <c r="D868" s="13"/>
      <c r="E868" s="13"/>
      <c r="F868" s="14"/>
    </row>
    <row r="869" spans="2:6" ht="17" thickBot="1">
      <c r="B869" s="8"/>
      <c r="C869" s="8"/>
      <c r="D869" s="8"/>
      <c r="E869" s="8"/>
    </row>
    <row r="870" spans="2:6" ht="15" thickTop="1" thickBot="1">
      <c r="B870" s="16" t="s">
        <v>13</v>
      </c>
      <c r="C870" s="17" t="s">
        <v>14</v>
      </c>
      <c r="D870" s="17" t="s">
        <v>15</v>
      </c>
      <c r="E870" s="17" t="s">
        <v>16</v>
      </c>
      <c r="F870" s="18" t="s">
        <v>17</v>
      </c>
    </row>
    <row r="871" spans="2:6" ht="14" thickTop="1">
      <c r="B871" s="19"/>
      <c r="C871" s="19"/>
      <c r="D871" s="19"/>
      <c r="E871" s="19"/>
      <c r="F871" s="19"/>
    </row>
    <row r="872" spans="2:6">
      <c r="B872" s="20" t="s">
        <v>112</v>
      </c>
      <c r="C872" s="21" t="s">
        <v>81</v>
      </c>
      <c r="D872" s="21">
        <v>1</v>
      </c>
      <c r="E872" s="22">
        <v>190000</v>
      </c>
      <c r="F872" s="22">
        <f t="shared" ref="F872:F877" si="13">E872*D872</f>
        <v>190000</v>
      </c>
    </row>
    <row r="873" spans="2:6">
      <c r="B873" s="20" t="s">
        <v>113</v>
      </c>
      <c r="C873" s="21" t="s">
        <v>43</v>
      </c>
      <c r="D873" s="21">
        <v>1</v>
      </c>
      <c r="E873" s="22">
        <v>4500</v>
      </c>
      <c r="F873" s="22">
        <f t="shared" si="13"/>
        <v>4500</v>
      </c>
    </row>
    <row r="874" spans="2:6">
      <c r="B874" s="20"/>
      <c r="C874" s="21"/>
      <c r="D874" s="21"/>
      <c r="E874" s="22"/>
      <c r="F874" s="22">
        <f t="shared" si="13"/>
        <v>0</v>
      </c>
    </row>
    <row r="875" spans="2:6">
      <c r="B875" s="20"/>
      <c r="C875" s="21"/>
      <c r="D875" s="21"/>
      <c r="E875" s="22"/>
      <c r="F875" s="22">
        <f t="shared" si="13"/>
        <v>0</v>
      </c>
    </row>
    <row r="876" spans="2:6">
      <c r="B876" s="20"/>
      <c r="C876" s="21"/>
      <c r="D876" s="21"/>
      <c r="E876" s="22"/>
      <c r="F876" s="22">
        <f t="shared" si="13"/>
        <v>0</v>
      </c>
    </row>
    <row r="877" spans="2:6">
      <c r="B877" s="20"/>
      <c r="C877" s="21"/>
      <c r="D877" s="21"/>
      <c r="E877" s="22"/>
      <c r="F877" s="22">
        <f t="shared" si="13"/>
        <v>0</v>
      </c>
    </row>
    <row r="878" spans="2:6" ht="17" thickBot="1">
      <c r="B878" s="6" t="s">
        <v>19</v>
      </c>
      <c r="C878" s="8"/>
      <c r="D878" s="8"/>
      <c r="E878" s="8"/>
      <c r="F878" s="23">
        <f>SUM(F872:F877)</f>
        <v>194500</v>
      </c>
    </row>
    <row r="879" spans="2:6" ht="17" thickBot="1">
      <c r="B879" s="8"/>
      <c r="C879" s="8"/>
      <c r="D879" s="8"/>
      <c r="E879" s="8"/>
    </row>
    <row r="880" spans="2:6" ht="15" thickTop="1" thickBot="1">
      <c r="B880" s="16" t="s">
        <v>20</v>
      </c>
      <c r="C880" s="17" t="s">
        <v>14</v>
      </c>
      <c r="D880" s="17" t="s">
        <v>15</v>
      </c>
      <c r="E880" s="17" t="s">
        <v>16</v>
      </c>
      <c r="F880" s="18" t="s">
        <v>17</v>
      </c>
    </row>
    <row r="881" spans="2:6" ht="17" thickTop="1">
      <c r="B881" s="8"/>
      <c r="C881" s="8"/>
      <c r="D881" s="8"/>
      <c r="E881" s="8"/>
    </row>
    <row r="882" spans="2:6">
      <c r="B882" s="24" t="s">
        <v>21</v>
      </c>
      <c r="C882" s="20" t="s">
        <v>22</v>
      </c>
      <c r="D882" s="20">
        <v>0.1</v>
      </c>
      <c r="E882" s="22">
        <v>27500</v>
      </c>
      <c r="F882" s="25">
        <f>E882*D882</f>
        <v>2750</v>
      </c>
    </row>
    <row r="883" spans="2:6">
      <c r="B883" s="20" t="s">
        <v>23</v>
      </c>
      <c r="C883" s="20" t="s">
        <v>22</v>
      </c>
      <c r="D883" s="20">
        <v>0.1</v>
      </c>
      <c r="E883" s="22">
        <v>15000</v>
      </c>
      <c r="F883" s="25">
        <f>E883*D883</f>
        <v>1500</v>
      </c>
    </row>
    <row r="884" spans="2:6" ht="16">
      <c r="B884" s="26"/>
      <c r="C884" s="26"/>
      <c r="D884" s="26"/>
      <c r="E884" s="26"/>
      <c r="F884" s="25">
        <f>E884*D884</f>
        <v>0</v>
      </c>
    </row>
    <row r="885" spans="2:6" ht="16">
      <c r="B885" s="26"/>
      <c r="C885" s="26"/>
      <c r="D885" s="26"/>
      <c r="E885" s="26"/>
      <c r="F885" s="25">
        <f>E885*D885</f>
        <v>0</v>
      </c>
    </row>
    <row r="886" spans="2:6" ht="16">
      <c r="B886" s="27" t="s">
        <v>25</v>
      </c>
      <c r="C886" s="27" t="s">
        <v>26</v>
      </c>
      <c r="D886" s="28">
        <v>0.32</v>
      </c>
      <c r="E886" s="29">
        <f>SUM(E882:E885)*D886</f>
        <v>13600</v>
      </c>
      <c r="F886" s="25">
        <f>E886*D886</f>
        <v>4352</v>
      </c>
    </row>
    <row r="887" spans="2:6" ht="16">
      <c r="B887" s="8"/>
      <c r="C887" s="8"/>
      <c r="D887" s="8"/>
      <c r="E887" s="8"/>
    </row>
    <row r="888" spans="2:6" ht="17" thickBot="1">
      <c r="B888" s="6" t="s">
        <v>27</v>
      </c>
      <c r="C888" s="8"/>
      <c r="D888" s="8"/>
      <c r="E888" s="8"/>
      <c r="F888" s="23">
        <f>SUM(F882:F887)</f>
        <v>8602</v>
      </c>
    </row>
    <row r="889" spans="2:6" ht="17" thickBot="1">
      <c r="B889" s="8"/>
      <c r="C889" s="8"/>
      <c r="D889" s="8"/>
      <c r="E889" s="8"/>
    </row>
    <row r="890" spans="2:6" ht="15" thickTop="1" thickBot="1">
      <c r="B890" s="16" t="s">
        <v>28</v>
      </c>
      <c r="C890" s="17" t="s">
        <v>14</v>
      </c>
      <c r="D890" s="17" t="s">
        <v>15</v>
      </c>
      <c r="E890" s="17" t="s">
        <v>16</v>
      </c>
      <c r="F890" s="18" t="s">
        <v>17</v>
      </c>
    </row>
    <row r="891" spans="2:6" ht="17" thickTop="1">
      <c r="B891" s="8"/>
      <c r="C891" s="8"/>
      <c r="D891" s="8"/>
      <c r="E891" s="8"/>
    </row>
    <row r="892" spans="2:6">
      <c r="B892" s="20" t="s">
        <v>114</v>
      </c>
      <c r="C892" s="20" t="s">
        <v>32</v>
      </c>
      <c r="D892" s="68">
        <v>0.2</v>
      </c>
      <c r="E892" s="22">
        <v>25000</v>
      </c>
      <c r="F892" s="25">
        <f>E892*D892</f>
        <v>5000</v>
      </c>
    </row>
    <row r="893" spans="2:6">
      <c r="B893" s="20" t="s">
        <v>115</v>
      </c>
      <c r="C893" s="20" t="s">
        <v>32</v>
      </c>
      <c r="D893" s="68">
        <v>0.1</v>
      </c>
      <c r="E893" s="22">
        <v>35000</v>
      </c>
      <c r="F893" s="25">
        <f>E893*D893</f>
        <v>3500</v>
      </c>
    </row>
    <row r="894" spans="2:6" ht="16">
      <c r="B894" s="26"/>
      <c r="C894" s="26"/>
      <c r="D894" s="26"/>
      <c r="E894" s="26"/>
      <c r="F894" s="25">
        <f>E894*D894</f>
        <v>0</v>
      </c>
    </row>
    <row r="895" spans="2:6" ht="16">
      <c r="B895" s="26"/>
      <c r="C895" s="26"/>
      <c r="D895" s="26"/>
      <c r="E895" s="26"/>
      <c r="F895" s="25">
        <f>E895*D895</f>
        <v>0</v>
      </c>
    </row>
    <row r="896" spans="2:6" ht="16">
      <c r="B896" s="30"/>
      <c r="C896" s="26"/>
      <c r="D896" s="26"/>
      <c r="E896" s="26"/>
      <c r="F896" s="25">
        <f>E896*D896</f>
        <v>0</v>
      </c>
    </row>
    <row r="897" spans="2:6" ht="16">
      <c r="B897" s="8"/>
      <c r="C897" s="8"/>
      <c r="D897" s="8"/>
      <c r="E897" s="8"/>
    </row>
    <row r="898" spans="2:6" ht="14" thickBot="1">
      <c r="B898" s="19" t="s">
        <v>33</v>
      </c>
      <c r="C898" s="19"/>
      <c r="D898" s="19"/>
      <c r="E898" s="19"/>
      <c r="F898" s="23">
        <f>SUM(F892:F897)</f>
        <v>8500</v>
      </c>
    </row>
    <row r="899" spans="2:6" ht="16">
      <c r="B899" s="8"/>
      <c r="C899" s="8"/>
      <c r="D899" s="8"/>
      <c r="E899" s="8"/>
    </row>
    <row r="900" spans="2:6" ht="17" thickBot="1">
      <c r="B900" s="8"/>
      <c r="C900" s="8"/>
      <c r="D900" s="8"/>
      <c r="E900" s="8"/>
    </row>
    <row r="901" spans="2:6" ht="17" thickBot="1">
      <c r="B901" s="31" t="s">
        <v>34</v>
      </c>
      <c r="C901" s="13"/>
      <c r="D901" s="13"/>
      <c r="E901" s="13"/>
      <c r="F901" s="32">
        <f>F878+F888+F898</f>
        <v>211602</v>
      </c>
    </row>
    <row r="902" spans="2:6" ht="17" thickBot="1">
      <c r="B902" s="31" t="s">
        <v>35</v>
      </c>
      <c r="C902" s="13"/>
      <c r="D902" s="13"/>
      <c r="E902" s="33">
        <f>E730</f>
        <v>0.1</v>
      </c>
      <c r="F902" s="32">
        <f>F901*E902</f>
        <v>21160.2</v>
      </c>
    </row>
    <row r="903" spans="2:6" ht="17" thickBot="1">
      <c r="B903" s="31" t="s">
        <v>36</v>
      </c>
      <c r="C903" s="13"/>
      <c r="D903" s="13"/>
      <c r="E903" s="33">
        <f>E731</f>
        <v>0.1</v>
      </c>
      <c r="F903" s="32">
        <f>F901*E903</f>
        <v>21160.2</v>
      </c>
    </row>
    <row r="904" spans="2:6" ht="17" thickBot="1">
      <c r="B904" s="34" t="s">
        <v>37</v>
      </c>
      <c r="C904" s="35"/>
      <c r="D904" s="35"/>
      <c r="E904" s="35"/>
      <c r="F904" s="32">
        <f>SUM(F901:F903)</f>
        <v>253922.40000000002</v>
      </c>
    </row>
    <row r="905" spans="2:6" ht="17" thickBot="1">
      <c r="B905" s="36"/>
      <c r="C905" s="8"/>
      <c r="D905" s="8"/>
      <c r="E905" s="8"/>
    </row>
    <row r="906" spans="2:6" ht="18" thickTop="1" thickBot="1">
      <c r="B906" s="37" t="s">
        <v>38</v>
      </c>
      <c r="C906" s="8"/>
      <c r="D906" s="8"/>
      <c r="E906" s="8"/>
    </row>
    <row r="907" spans="2:6" ht="18" thickTop="1" thickBot="1">
      <c r="B907" s="8"/>
      <c r="C907" s="8"/>
      <c r="D907" s="8"/>
      <c r="E907" s="8"/>
    </row>
    <row r="908" spans="2:6" ht="17" thickTop="1">
      <c r="B908" s="38"/>
      <c r="C908" s="13"/>
      <c r="D908" s="13"/>
      <c r="E908" s="39"/>
      <c r="F908" s="40"/>
    </row>
    <row r="909" spans="2:6" ht="16">
      <c r="B909" s="38"/>
      <c r="C909" s="13"/>
      <c r="D909" s="13"/>
      <c r="E909" s="41"/>
      <c r="F909" s="42"/>
    </row>
    <row r="910" spans="2:6" ht="16">
      <c r="B910" s="38"/>
      <c r="C910" s="13"/>
      <c r="D910" s="13"/>
      <c r="E910" s="41"/>
      <c r="F910" s="42"/>
    </row>
    <row r="911" spans="2:6" ht="17" thickBot="1">
      <c r="B911" s="54"/>
      <c r="C911" s="35"/>
      <c r="D911" s="35"/>
      <c r="E911" s="44"/>
      <c r="F911" s="45"/>
    </row>
    <row r="912" spans="2:6" ht="14" thickTop="1"/>
    <row r="913" spans="2:6" ht="14" thickBot="1">
      <c r="B913" s="1" t="s">
        <v>0</v>
      </c>
      <c r="C913" s="1"/>
    </row>
    <row r="914" spans="2:6" ht="17" thickBot="1">
      <c r="B914" s="1" t="s">
        <v>1</v>
      </c>
      <c r="C914" s="1"/>
      <c r="E914" s="4" t="s">
        <v>2</v>
      </c>
      <c r="F914" s="5"/>
    </row>
    <row r="915" spans="2:6">
      <c r="B915" s="6"/>
    </row>
    <row r="916" spans="2:6" ht="16">
      <c r="B916" s="7" t="s">
        <v>3</v>
      </c>
      <c r="C916" s="7"/>
      <c r="D916" s="7"/>
      <c r="E916" s="7"/>
      <c r="F916" s="7"/>
    </row>
    <row r="917" spans="2:6" ht="16">
      <c r="B917" s="8"/>
      <c r="C917" s="8"/>
      <c r="D917" s="8"/>
      <c r="E917" s="8"/>
    </row>
    <row r="918" spans="2:6" ht="21" customHeight="1">
      <c r="B918" s="9" t="s">
        <v>4</v>
      </c>
      <c r="C918" s="10" t="str">
        <f>C861</f>
        <v>MEJORAMIENTO ESPACIO PUBLICO JJVV LUCILA GODOY ALCAYAGA</v>
      </c>
      <c r="D918" s="10"/>
      <c r="E918" s="10"/>
      <c r="F918" s="11"/>
    </row>
    <row r="919" spans="2:6" ht="16">
      <c r="B919" s="12"/>
      <c r="C919" s="8"/>
      <c r="D919" s="8"/>
      <c r="E919" s="8"/>
    </row>
    <row r="920" spans="2:6" ht="16">
      <c r="B920" s="9" t="s">
        <v>5</v>
      </c>
      <c r="C920" s="13" t="s">
        <v>6</v>
      </c>
      <c r="D920" s="13"/>
      <c r="E920" s="13"/>
      <c r="F920" s="14"/>
    </row>
    <row r="921" spans="2:6" ht="16">
      <c r="B921" s="9"/>
      <c r="C921" s="13"/>
      <c r="D921" s="13"/>
      <c r="E921" s="13"/>
      <c r="F921" s="14"/>
    </row>
    <row r="922" spans="2:6" ht="16">
      <c r="B922" s="9" t="s">
        <v>7</v>
      </c>
      <c r="C922" s="13" t="str">
        <f>[1]LGA!A30</f>
        <v>2.1.8</v>
      </c>
      <c r="D922" s="13"/>
      <c r="E922" s="13"/>
      <c r="F922" s="14"/>
    </row>
    <row r="923" spans="2:6" ht="16">
      <c r="B923" s="9" t="s">
        <v>8</v>
      </c>
      <c r="C923" s="13" t="s">
        <v>116</v>
      </c>
      <c r="D923" s="13"/>
      <c r="E923" s="13"/>
      <c r="F923" s="14"/>
    </row>
    <row r="924" spans="2:6" ht="16">
      <c r="B924" s="9" t="s">
        <v>10</v>
      </c>
      <c r="C924" s="13" t="s">
        <v>95</v>
      </c>
      <c r="D924" s="13"/>
      <c r="E924" s="13"/>
      <c r="F924" s="14"/>
    </row>
    <row r="925" spans="2:6" ht="16">
      <c r="B925" s="9" t="s">
        <v>12</v>
      </c>
      <c r="C925" s="15">
        <f>C868</f>
        <v>46024</v>
      </c>
      <c r="D925" s="13"/>
      <c r="E925" s="13"/>
      <c r="F925" s="14"/>
    </row>
    <row r="926" spans="2:6" ht="17" thickBot="1">
      <c r="B926" s="8"/>
      <c r="C926" s="8"/>
      <c r="D926" s="8"/>
      <c r="E926" s="8"/>
    </row>
    <row r="927" spans="2:6" ht="15" thickTop="1" thickBot="1">
      <c r="B927" s="16" t="s">
        <v>13</v>
      </c>
      <c r="C927" s="17" t="s">
        <v>14</v>
      </c>
      <c r="D927" s="17" t="s">
        <v>15</v>
      </c>
      <c r="E927" s="17" t="s">
        <v>16</v>
      </c>
      <c r="F927" s="18" t="s">
        <v>17</v>
      </c>
    </row>
    <row r="928" spans="2:6" ht="14" thickTop="1">
      <c r="B928" s="19"/>
      <c r="C928" s="19"/>
      <c r="D928" s="19"/>
      <c r="E928" s="19"/>
      <c r="F928" s="19"/>
    </row>
    <row r="929" spans="2:6">
      <c r="B929" s="20" t="s">
        <v>117</v>
      </c>
      <c r="C929" s="21" t="s">
        <v>81</v>
      </c>
      <c r="D929" s="21">
        <v>0.94669999999999999</v>
      </c>
      <c r="E929" s="22">
        <v>116000</v>
      </c>
      <c r="F929" s="22">
        <f t="shared" ref="F929:F934" si="14">E929*D929</f>
        <v>109817.2</v>
      </c>
    </row>
    <row r="930" spans="2:6">
      <c r="B930" s="20"/>
      <c r="C930" s="21"/>
      <c r="D930" s="21"/>
      <c r="E930" s="22"/>
      <c r="F930" s="22">
        <f t="shared" si="14"/>
        <v>0</v>
      </c>
    </row>
    <row r="931" spans="2:6">
      <c r="B931" s="20"/>
      <c r="C931" s="21"/>
      <c r="D931" s="21"/>
      <c r="E931" s="22"/>
      <c r="F931" s="22">
        <f t="shared" si="14"/>
        <v>0</v>
      </c>
    </row>
    <row r="932" spans="2:6">
      <c r="B932" s="20"/>
      <c r="C932" s="21"/>
      <c r="D932" s="21"/>
      <c r="E932" s="22"/>
      <c r="F932" s="22">
        <f t="shared" si="14"/>
        <v>0</v>
      </c>
    </row>
    <row r="933" spans="2:6">
      <c r="B933" s="20"/>
      <c r="C933" s="21"/>
      <c r="D933" s="21"/>
      <c r="E933" s="22"/>
      <c r="F933" s="22">
        <f t="shared" si="14"/>
        <v>0</v>
      </c>
    </row>
    <row r="934" spans="2:6">
      <c r="B934" s="20"/>
      <c r="C934" s="21"/>
      <c r="D934" s="21"/>
      <c r="E934" s="22"/>
      <c r="F934" s="22">
        <f t="shared" si="14"/>
        <v>0</v>
      </c>
    </row>
    <row r="935" spans="2:6" ht="17" thickBot="1">
      <c r="B935" s="6" t="s">
        <v>19</v>
      </c>
      <c r="C935" s="8"/>
      <c r="D935" s="8"/>
      <c r="E935" s="8"/>
      <c r="F935" s="23">
        <f>SUM(F929:F934)</f>
        <v>109817.2</v>
      </c>
    </row>
    <row r="936" spans="2:6" ht="17" thickBot="1">
      <c r="B936" s="8"/>
      <c r="C936" s="8"/>
      <c r="D936" s="8"/>
      <c r="E936" s="8"/>
    </row>
    <row r="937" spans="2:6" ht="15" thickTop="1" thickBot="1">
      <c r="B937" s="16" t="s">
        <v>20</v>
      </c>
      <c r="C937" s="17" t="s">
        <v>14</v>
      </c>
      <c r="D937" s="17" t="s">
        <v>15</v>
      </c>
      <c r="E937" s="17" t="s">
        <v>16</v>
      </c>
      <c r="F937" s="18" t="s">
        <v>17</v>
      </c>
    </row>
    <row r="938" spans="2:6" ht="17" thickTop="1">
      <c r="B938" s="8"/>
      <c r="C938" s="8"/>
      <c r="D938" s="8"/>
      <c r="E938" s="8"/>
    </row>
    <row r="939" spans="2:6">
      <c r="B939" s="24" t="s">
        <v>21</v>
      </c>
      <c r="C939" s="20" t="s">
        <v>22</v>
      </c>
      <c r="D939" s="20">
        <v>0.44</v>
      </c>
      <c r="E939" s="22">
        <v>27500</v>
      </c>
      <c r="F939" s="25">
        <f>E939*D939</f>
        <v>12100</v>
      </c>
    </row>
    <row r="940" spans="2:6">
      <c r="B940" s="20" t="s">
        <v>23</v>
      </c>
      <c r="C940" s="20" t="s">
        <v>22</v>
      </c>
      <c r="D940" s="20">
        <v>0.44</v>
      </c>
      <c r="E940" s="22">
        <v>15000</v>
      </c>
      <c r="F940" s="25">
        <f>E940*D940</f>
        <v>6600</v>
      </c>
    </row>
    <row r="941" spans="2:6" ht="16">
      <c r="B941" s="26"/>
      <c r="C941" s="26"/>
      <c r="D941" s="26"/>
      <c r="E941" s="26"/>
      <c r="F941" s="25">
        <f>E941*D941</f>
        <v>0</v>
      </c>
    </row>
    <row r="942" spans="2:6" ht="16">
      <c r="B942" s="26"/>
      <c r="C942" s="26"/>
      <c r="D942" s="26"/>
      <c r="E942" s="26"/>
      <c r="F942" s="25">
        <f>E942*D942</f>
        <v>0</v>
      </c>
    </row>
    <row r="943" spans="2:6" ht="16">
      <c r="B943" s="27" t="s">
        <v>25</v>
      </c>
      <c r="C943" s="27" t="s">
        <v>26</v>
      </c>
      <c r="D943" s="28">
        <v>0.32</v>
      </c>
      <c r="E943" s="29">
        <f>SUM(E939:E942)*D943</f>
        <v>13600</v>
      </c>
      <c r="F943" s="25">
        <f>E943*D943</f>
        <v>4352</v>
      </c>
    </row>
    <row r="944" spans="2:6" ht="16">
      <c r="B944" s="8"/>
      <c r="C944" s="8"/>
      <c r="D944" s="8"/>
      <c r="E944" s="8"/>
    </row>
    <row r="945" spans="2:6" ht="17" thickBot="1">
      <c r="B945" s="6" t="s">
        <v>27</v>
      </c>
      <c r="C945" s="8"/>
      <c r="D945" s="8"/>
      <c r="E945" s="8"/>
      <c r="F945" s="23">
        <f>SUM(F939:F944)</f>
        <v>23052</v>
      </c>
    </row>
    <row r="946" spans="2:6" ht="17" thickBot="1">
      <c r="B946" s="8"/>
      <c r="C946" s="8"/>
      <c r="D946" s="8"/>
      <c r="E946" s="8"/>
    </row>
    <row r="947" spans="2:6" ht="15" thickTop="1" thickBot="1">
      <c r="B947" s="16" t="s">
        <v>28</v>
      </c>
      <c r="C947" s="17" t="s">
        <v>14</v>
      </c>
      <c r="D947" s="17" t="s">
        <v>15</v>
      </c>
      <c r="E947" s="17" t="s">
        <v>16</v>
      </c>
      <c r="F947" s="18" t="s">
        <v>17</v>
      </c>
    </row>
    <row r="948" spans="2:6" ht="17" thickTop="1">
      <c r="B948" s="8"/>
      <c r="C948" s="8"/>
      <c r="D948" s="8"/>
      <c r="E948" s="8"/>
    </row>
    <row r="949" spans="2:6">
      <c r="B949" s="20"/>
      <c r="C949" s="20"/>
      <c r="D949" s="20"/>
      <c r="E949" s="22"/>
      <c r="F949" s="25">
        <f>E949*D949</f>
        <v>0</v>
      </c>
    </row>
    <row r="950" spans="2:6">
      <c r="B950" s="20" t="s">
        <v>31</v>
      </c>
      <c r="C950" s="20" t="s">
        <v>32</v>
      </c>
      <c r="D950" s="71">
        <v>0.02</v>
      </c>
      <c r="E950" s="22">
        <v>25000</v>
      </c>
      <c r="F950" s="25">
        <f>E950*D950</f>
        <v>500</v>
      </c>
    </row>
    <row r="951" spans="2:6">
      <c r="B951" s="20" t="s">
        <v>118</v>
      </c>
      <c r="C951" s="20" t="s">
        <v>32</v>
      </c>
      <c r="D951" s="71">
        <v>0.02</v>
      </c>
      <c r="E951" s="22">
        <v>300000</v>
      </c>
      <c r="F951" s="25">
        <f>E951*D951</f>
        <v>6000</v>
      </c>
    </row>
    <row r="952" spans="2:6" ht="16">
      <c r="B952" s="26"/>
      <c r="C952" s="26"/>
      <c r="D952" s="26"/>
      <c r="E952" s="26"/>
      <c r="F952" s="25">
        <f>E952*D952</f>
        <v>0</v>
      </c>
    </row>
    <row r="953" spans="2:6" ht="16">
      <c r="B953" s="30"/>
      <c r="C953" s="26"/>
      <c r="D953" s="26"/>
      <c r="E953" s="26"/>
      <c r="F953" s="25">
        <f>E953*D953</f>
        <v>0</v>
      </c>
    </row>
    <row r="954" spans="2:6" ht="16">
      <c r="B954" s="8"/>
      <c r="C954" s="8"/>
      <c r="D954" s="8"/>
      <c r="E954" s="8"/>
    </row>
    <row r="955" spans="2:6" ht="14" thickBot="1">
      <c r="B955" s="19" t="s">
        <v>33</v>
      </c>
      <c r="C955" s="19"/>
      <c r="D955" s="19"/>
      <c r="E955" s="19"/>
      <c r="F955" s="23">
        <f>SUM(F949:F954)</f>
        <v>6500</v>
      </c>
    </row>
    <row r="956" spans="2:6" ht="16">
      <c r="B956" s="8"/>
      <c r="C956" s="8"/>
      <c r="D956" s="8"/>
      <c r="E956" s="8"/>
    </row>
    <row r="957" spans="2:6" ht="17" thickBot="1">
      <c r="B957" s="8"/>
      <c r="C957" s="8"/>
      <c r="D957" s="8"/>
      <c r="E957" s="8"/>
    </row>
    <row r="958" spans="2:6" ht="17" thickBot="1">
      <c r="B958" s="31" t="s">
        <v>34</v>
      </c>
      <c r="C958" s="13"/>
      <c r="D958" s="13"/>
      <c r="E958" s="13"/>
      <c r="F958" s="32">
        <f>F935+F945+F955</f>
        <v>139369.20000000001</v>
      </c>
    </row>
    <row r="959" spans="2:6" ht="17" thickBot="1">
      <c r="B959" s="31" t="s">
        <v>35</v>
      </c>
      <c r="C959" s="13"/>
      <c r="D959" s="13"/>
      <c r="E959" s="33">
        <v>0.1</v>
      </c>
      <c r="F959" s="32">
        <f>F958*E959</f>
        <v>13936.920000000002</v>
      </c>
    </row>
    <row r="960" spans="2:6" ht="17" thickBot="1">
      <c r="B960" s="31" t="s">
        <v>36</v>
      </c>
      <c r="C960" s="13"/>
      <c r="D960" s="13"/>
      <c r="E960" s="72">
        <v>0.1</v>
      </c>
      <c r="F960" s="32">
        <f>F958*E960</f>
        <v>13936.920000000002</v>
      </c>
    </row>
    <row r="961" spans="2:6" ht="17" thickBot="1">
      <c r="B961" s="34" t="s">
        <v>37</v>
      </c>
      <c r="C961" s="35"/>
      <c r="D961" s="35"/>
      <c r="E961" s="35"/>
      <c r="F961" s="32">
        <f>SUM(F958:F960)</f>
        <v>167243.04000000004</v>
      </c>
    </row>
    <row r="962" spans="2:6" ht="17" thickBot="1">
      <c r="B962" s="36"/>
      <c r="C962" s="8"/>
      <c r="D962" s="8"/>
      <c r="E962" s="8"/>
    </row>
    <row r="963" spans="2:6" ht="18" thickTop="1" thickBot="1">
      <c r="B963" s="37" t="s">
        <v>38</v>
      </c>
      <c r="C963" s="8"/>
      <c r="D963" s="8"/>
      <c r="E963" s="8"/>
    </row>
    <row r="964" spans="2:6" ht="18" thickTop="1" thickBot="1">
      <c r="B964" s="8"/>
      <c r="C964" s="8"/>
      <c r="D964" s="8"/>
      <c r="E964" s="8"/>
    </row>
    <row r="965" spans="2:6" ht="17" thickTop="1">
      <c r="B965" s="38"/>
      <c r="C965" s="13"/>
      <c r="D965" s="13"/>
      <c r="E965" s="39"/>
      <c r="F965" s="40"/>
    </row>
    <row r="966" spans="2:6" ht="16">
      <c r="B966" s="38"/>
      <c r="C966" s="13"/>
      <c r="D966" s="13"/>
      <c r="E966" s="41"/>
      <c r="F966" s="42"/>
    </row>
    <row r="967" spans="2:6" ht="16">
      <c r="B967" s="38"/>
      <c r="C967" s="13"/>
      <c r="D967" s="13"/>
      <c r="E967" s="41"/>
      <c r="F967" s="42"/>
    </row>
    <row r="968" spans="2:6" ht="17" thickBot="1">
      <c r="B968" s="54"/>
      <c r="C968" s="35"/>
      <c r="D968" s="35"/>
      <c r="E968" s="44"/>
      <c r="F968" s="45"/>
    </row>
    <row r="969" spans="2:6" ht="14" thickTop="1"/>
    <row r="970" spans="2:6" ht="14" thickBot="1">
      <c r="B970" s="1" t="s">
        <v>0</v>
      </c>
      <c r="C970" s="1"/>
    </row>
    <row r="971" spans="2:6" ht="17" thickBot="1">
      <c r="B971" s="1" t="s">
        <v>1</v>
      </c>
      <c r="C971" s="1"/>
      <c r="E971" s="4" t="s">
        <v>2</v>
      </c>
      <c r="F971" s="5"/>
    </row>
    <row r="972" spans="2:6">
      <c r="B972" s="6"/>
    </row>
    <row r="973" spans="2:6" ht="16">
      <c r="B973" s="7" t="s">
        <v>3</v>
      </c>
      <c r="C973" s="7"/>
      <c r="D973" s="7"/>
      <c r="E973" s="7"/>
      <c r="F973" s="7"/>
    </row>
    <row r="974" spans="2:6" ht="16">
      <c r="B974" s="8"/>
      <c r="C974" s="8"/>
      <c r="D974" s="8"/>
      <c r="E974" s="8"/>
    </row>
    <row r="975" spans="2:6" ht="16">
      <c r="B975" s="9" t="s">
        <v>4</v>
      </c>
      <c r="C975" s="13" t="str">
        <f>C689</f>
        <v>MEJORAMIENTO ESPACIO PUBLICO JJVV LUCILA GODOY ALCAYAGA</v>
      </c>
      <c r="D975" s="13"/>
      <c r="E975" s="13"/>
      <c r="F975" s="14"/>
    </row>
    <row r="976" spans="2:6" ht="16">
      <c r="B976" s="12"/>
      <c r="C976" s="8"/>
      <c r="D976" s="8"/>
      <c r="E976" s="8"/>
    </row>
    <row r="977" spans="2:6" ht="16">
      <c r="B977" s="9" t="s">
        <v>5</v>
      </c>
      <c r="C977" s="13" t="s">
        <v>6</v>
      </c>
      <c r="D977" s="13"/>
      <c r="E977" s="13"/>
      <c r="F977" s="14"/>
    </row>
    <row r="978" spans="2:6" ht="16">
      <c r="B978" s="9"/>
      <c r="C978" s="13"/>
      <c r="D978" s="13"/>
      <c r="E978" s="13"/>
      <c r="F978" s="14"/>
    </row>
    <row r="979" spans="2:6" ht="16">
      <c r="B979" s="9" t="s">
        <v>7</v>
      </c>
      <c r="C979" s="13" t="str">
        <f>[1]LGA!A31</f>
        <v>2.1.9</v>
      </c>
      <c r="D979" s="13"/>
      <c r="E979" s="13"/>
      <c r="F979" s="14"/>
    </row>
    <row r="980" spans="2:6" ht="16">
      <c r="B980" s="9" t="s">
        <v>8</v>
      </c>
      <c r="C980" s="13" t="s">
        <v>119</v>
      </c>
      <c r="D980" s="13"/>
      <c r="E980" s="13"/>
      <c r="F980" s="14"/>
    </row>
    <row r="981" spans="2:6" ht="16">
      <c r="B981" s="9" t="s">
        <v>10</v>
      </c>
      <c r="C981" s="13" t="s">
        <v>120</v>
      </c>
      <c r="D981" s="13"/>
      <c r="E981" s="13"/>
      <c r="F981" s="14"/>
    </row>
    <row r="982" spans="2:6" ht="16">
      <c r="B982" s="9" t="s">
        <v>12</v>
      </c>
      <c r="C982" s="15">
        <f>C696</f>
        <v>46024</v>
      </c>
      <c r="D982" s="13"/>
      <c r="E982" s="13"/>
      <c r="F982" s="14"/>
    </row>
    <row r="983" spans="2:6" ht="17" thickBot="1">
      <c r="B983" s="8"/>
      <c r="C983" s="8"/>
      <c r="D983" s="8"/>
      <c r="E983" s="8"/>
    </row>
    <row r="984" spans="2:6" ht="15" thickTop="1" thickBot="1">
      <c r="B984" s="16" t="s">
        <v>13</v>
      </c>
      <c r="C984" s="17" t="s">
        <v>14</v>
      </c>
      <c r="D984" s="17" t="s">
        <v>15</v>
      </c>
      <c r="E984" s="17" t="s">
        <v>16</v>
      </c>
      <c r="F984" s="18" t="s">
        <v>17</v>
      </c>
    </row>
    <row r="985" spans="2:6" ht="14" thickTop="1">
      <c r="B985" s="19"/>
      <c r="C985" s="19"/>
      <c r="D985" s="19"/>
      <c r="E985" s="19"/>
      <c r="F985" s="19"/>
    </row>
    <row r="986" spans="2:6">
      <c r="B986" s="20" t="s">
        <v>121</v>
      </c>
      <c r="C986" s="21" t="s">
        <v>122</v>
      </c>
      <c r="D986" s="21">
        <v>1</v>
      </c>
      <c r="E986" s="22">
        <v>5060</v>
      </c>
      <c r="F986" s="22">
        <f t="shared" ref="F986:F991" si="15">E986*D986</f>
        <v>5060</v>
      </c>
    </row>
    <row r="987" spans="2:6">
      <c r="B987" s="20" t="s">
        <v>123</v>
      </c>
      <c r="C987" s="21" t="s">
        <v>102</v>
      </c>
      <c r="D987" s="21">
        <v>0.3</v>
      </c>
      <c r="E987" s="22">
        <v>35900</v>
      </c>
      <c r="F987" s="22">
        <f t="shared" si="15"/>
        <v>10770</v>
      </c>
    </row>
    <row r="988" spans="2:6">
      <c r="B988" s="20" t="s">
        <v>124</v>
      </c>
      <c r="C988" s="21" t="s">
        <v>122</v>
      </c>
      <c r="D988" s="21">
        <v>1</v>
      </c>
      <c r="E988" s="22">
        <v>18900</v>
      </c>
      <c r="F988" s="22">
        <f t="shared" si="15"/>
        <v>18900</v>
      </c>
    </row>
    <row r="989" spans="2:6">
      <c r="B989" s="20"/>
      <c r="C989" s="21"/>
      <c r="D989" s="21"/>
      <c r="E989" s="22"/>
      <c r="F989" s="22">
        <f t="shared" si="15"/>
        <v>0</v>
      </c>
    </row>
    <row r="990" spans="2:6">
      <c r="B990" s="20"/>
      <c r="C990" s="21"/>
      <c r="D990" s="21"/>
      <c r="E990" s="22"/>
      <c r="F990" s="22">
        <f t="shared" si="15"/>
        <v>0</v>
      </c>
    </row>
    <row r="991" spans="2:6">
      <c r="B991" s="20"/>
      <c r="C991" s="21"/>
      <c r="D991" s="21"/>
      <c r="E991" s="22"/>
      <c r="F991" s="22">
        <f t="shared" si="15"/>
        <v>0</v>
      </c>
    </row>
    <row r="992" spans="2:6" ht="17" thickBot="1">
      <c r="B992" s="6" t="s">
        <v>19</v>
      </c>
      <c r="C992" s="8"/>
      <c r="D992" s="8"/>
      <c r="E992" s="8"/>
      <c r="F992" s="23">
        <f>SUM(F986:F991)</f>
        <v>34730</v>
      </c>
    </row>
    <row r="993" spans="2:6" ht="17" thickBot="1">
      <c r="B993" s="8"/>
      <c r="C993" s="8"/>
      <c r="D993" s="8"/>
      <c r="E993" s="8"/>
    </row>
    <row r="994" spans="2:6" ht="15" thickTop="1" thickBot="1">
      <c r="B994" s="16" t="s">
        <v>20</v>
      </c>
      <c r="C994" s="17" t="s">
        <v>14</v>
      </c>
      <c r="D994" s="17" t="s">
        <v>15</v>
      </c>
      <c r="E994" s="17" t="s">
        <v>16</v>
      </c>
      <c r="F994" s="18" t="s">
        <v>17</v>
      </c>
    </row>
    <row r="995" spans="2:6" ht="17" thickTop="1">
      <c r="B995" s="8"/>
      <c r="C995" s="8"/>
      <c r="D995" s="8"/>
      <c r="E995" s="8"/>
    </row>
    <row r="996" spans="2:6">
      <c r="B996" s="24" t="s">
        <v>21</v>
      </c>
      <c r="C996" s="20" t="s">
        <v>22</v>
      </c>
      <c r="D996" s="20">
        <v>8</v>
      </c>
      <c r="E996" s="22">
        <v>27500</v>
      </c>
      <c r="F996" s="25">
        <f>E996*D996</f>
        <v>220000</v>
      </c>
    </row>
    <row r="997" spans="2:6">
      <c r="B997" s="20" t="s">
        <v>23</v>
      </c>
      <c r="C997" s="20" t="s">
        <v>22</v>
      </c>
      <c r="D997" s="20">
        <v>8</v>
      </c>
      <c r="E997" s="22">
        <v>15000</v>
      </c>
      <c r="F997" s="25">
        <f>E997*D997</f>
        <v>120000</v>
      </c>
    </row>
    <row r="998" spans="2:6" ht="16">
      <c r="B998" s="26"/>
      <c r="C998" s="26"/>
      <c r="D998" s="26"/>
      <c r="E998" s="26"/>
      <c r="F998" s="25">
        <f>E998*D998</f>
        <v>0</v>
      </c>
    </row>
    <row r="999" spans="2:6" ht="16">
      <c r="B999" s="26"/>
      <c r="C999" s="26"/>
      <c r="D999" s="26"/>
      <c r="E999" s="26"/>
      <c r="F999" s="25">
        <f>E999*D999</f>
        <v>0</v>
      </c>
    </row>
    <row r="1000" spans="2:6" ht="16">
      <c r="B1000" s="27" t="s">
        <v>25</v>
      </c>
      <c r="C1000" s="27" t="s">
        <v>26</v>
      </c>
      <c r="D1000" s="28">
        <v>0.32</v>
      </c>
      <c r="E1000" s="29">
        <f>SUM(E996:E999)*D1000</f>
        <v>13600</v>
      </c>
      <c r="F1000" s="25">
        <f>E1000*D1000</f>
        <v>4352</v>
      </c>
    </row>
    <row r="1001" spans="2:6" ht="16">
      <c r="B1001" s="8"/>
      <c r="C1001" s="8"/>
      <c r="D1001" s="8"/>
      <c r="E1001" s="8"/>
    </row>
    <row r="1002" spans="2:6" ht="17" thickBot="1">
      <c r="B1002" s="6" t="s">
        <v>27</v>
      </c>
      <c r="C1002" s="8"/>
      <c r="D1002" s="8"/>
      <c r="E1002" s="8"/>
      <c r="F1002" s="23">
        <f>SUM(F996:F1001)</f>
        <v>344352</v>
      </c>
    </row>
    <row r="1003" spans="2:6" ht="17" thickBot="1">
      <c r="B1003" s="8"/>
      <c r="C1003" s="8"/>
      <c r="D1003" s="8"/>
      <c r="E1003" s="8"/>
    </row>
    <row r="1004" spans="2:6" ht="15" thickTop="1" thickBot="1">
      <c r="B1004" s="16" t="s">
        <v>28</v>
      </c>
      <c r="C1004" s="17" t="s">
        <v>14</v>
      </c>
      <c r="D1004" s="17" t="s">
        <v>15</v>
      </c>
      <c r="E1004" s="17" t="s">
        <v>16</v>
      </c>
      <c r="F1004" s="18" t="s">
        <v>17</v>
      </c>
    </row>
    <row r="1005" spans="2:6" ht="17" thickTop="1">
      <c r="B1005" s="8"/>
      <c r="C1005" s="8"/>
      <c r="D1005" s="8"/>
      <c r="E1005" s="8"/>
    </row>
    <row r="1006" spans="2:6">
      <c r="B1006" s="20" t="s">
        <v>125</v>
      </c>
      <c r="C1006" s="20" t="s">
        <v>32</v>
      </c>
      <c r="D1006" s="68">
        <v>1</v>
      </c>
      <c r="E1006" s="22">
        <v>15000</v>
      </c>
      <c r="F1006" s="25">
        <f>E1006*D1006</f>
        <v>15000</v>
      </c>
    </row>
    <row r="1007" spans="2:6">
      <c r="B1007" s="20" t="s">
        <v>31</v>
      </c>
      <c r="C1007" s="20" t="s">
        <v>32</v>
      </c>
      <c r="D1007" s="68">
        <v>1</v>
      </c>
      <c r="E1007" s="22">
        <v>25000</v>
      </c>
      <c r="F1007" s="25">
        <f>E1007*D1007</f>
        <v>25000</v>
      </c>
    </row>
    <row r="1008" spans="2:6" ht="16">
      <c r="B1008" s="26"/>
      <c r="C1008" s="26"/>
      <c r="D1008" s="26"/>
      <c r="E1008" s="26"/>
      <c r="F1008" s="25">
        <f>E1008*D1008</f>
        <v>0</v>
      </c>
    </row>
    <row r="1009" spans="2:6" ht="16">
      <c r="B1009" s="26"/>
      <c r="C1009" s="26"/>
      <c r="D1009" s="26"/>
      <c r="E1009" s="26"/>
      <c r="F1009" s="25">
        <f>E1009*D1009</f>
        <v>0</v>
      </c>
    </row>
    <row r="1010" spans="2:6" ht="16">
      <c r="B1010" s="30"/>
      <c r="C1010" s="26"/>
      <c r="D1010" s="26"/>
      <c r="E1010" s="26"/>
      <c r="F1010" s="25">
        <f>E1010*D1010</f>
        <v>0</v>
      </c>
    </row>
    <row r="1011" spans="2:6" ht="16">
      <c r="B1011" s="8"/>
      <c r="C1011" s="8"/>
      <c r="D1011" s="8"/>
      <c r="E1011" s="8"/>
    </row>
    <row r="1012" spans="2:6" ht="14" thickBot="1">
      <c r="B1012" s="19" t="s">
        <v>33</v>
      </c>
      <c r="C1012" s="19"/>
      <c r="D1012" s="19"/>
      <c r="E1012" s="19"/>
      <c r="F1012" s="23">
        <f>SUM(F1006:F1011)</f>
        <v>40000</v>
      </c>
    </row>
    <row r="1013" spans="2:6" ht="16">
      <c r="B1013" s="8"/>
      <c r="C1013" s="8"/>
      <c r="D1013" s="8"/>
      <c r="E1013" s="8"/>
    </row>
    <row r="1014" spans="2:6" ht="17" thickBot="1">
      <c r="B1014" s="8"/>
      <c r="C1014" s="8"/>
      <c r="D1014" s="8"/>
      <c r="E1014" s="8"/>
    </row>
    <row r="1015" spans="2:6" ht="17" thickBot="1">
      <c r="B1015" s="31" t="s">
        <v>34</v>
      </c>
      <c r="C1015" s="13"/>
      <c r="D1015" s="13"/>
      <c r="E1015" s="13"/>
      <c r="F1015" s="32">
        <f>F992+F1002+F1012</f>
        <v>419082</v>
      </c>
    </row>
    <row r="1016" spans="2:6" ht="17" thickBot="1">
      <c r="B1016" s="31" t="s">
        <v>35</v>
      </c>
      <c r="C1016" s="13"/>
      <c r="D1016" s="13"/>
      <c r="E1016" s="33">
        <v>0.1</v>
      </c>
      <c r="F1016" s="32">
        <f>F1015*E1016</f>
        <v>41908.200000000004</v>
      </c>
    </row>
    <row r="1017" spans="2:6" ht="17" thickBot="1">
      <c r="B1017" s="31" t="s">
        <v>36</v>
      </c>
      <c r="C1017" s="13"/>
      <c r="D1017" s="13"/>
      <c r="E1017" s="33">
        <v>0.1</v>
      </c>
      <c r="F1017" s="32">
        <f>F1015*E1017</f>
        <v>41908.200000000004</v>
      </c>
    </row>
    <row r="1018" spans="2:6" ht="17" thickBot="1">
      <c r="B1018" s="34" t="s">
        <v>37</v>
      </c>
      <c r="C1018" s="35"/>
      <c r="D1018" s="35"/>
      <c r="E1018" s="35"/>
      <c r="F1018" s="32">
        <f>SUM(F1015:F1017)</f>
        <v>502898.4</v>
      </c>
    </row>
    <row r="1019" spans="2:6" ht="17" thickBot="1">
      <c r="B1019" s="36"/>
      <c r="C1019" s="8"/>
      <c r="D1019" s="8"/>
      <c r="E1019" s="8"/>
    </row>
    <row r="1020" spans="2:6" ht="18" thickTop="1" thickBot="1">
      <c r="B1020" s="37" t="s">
        <v>38</v>
      </c>
      <c r="C1020" s="8"/>
      <c r="D1020" s="8"/>
      <c r="E1020" s="8"/>
    </row>
    <row r="1021" spans="2:6" ht="18" thickTop="1" thickBot="1">
      <c r="B1021" s="8"/>
      <c r="C1021" s="8"/>
      <c r="D1021" s="8"/>
      <c r="E1021" s="8"/>
    </row>
    <row r="1022" spans="2:6" ht="17" thickTop="1">
      <c r="B1022" s="38"/>
      <c r="C1022" s="13"/>
      <c r="D1022" s="13"/>
      <c r="E1022" s="39"/>
      <c r="F1022" s="40"/>
    </row>
    <row r="1023" spans="2:6" ht="16">
      <c r="B1023" s="38"/>
      <c r="C1023" s="13"/>
      <c r="D1023" s="13"/>
      <c r="E1023" s="41"/>
      <c r="F1023" s="42"/>
    </row>
    <row r="1024" spans="2:6" ht="16">
      <c r="B1024" s="38"/>
      <c r="C1024" s="13"/>
      <c r="D1024" s="13"/>
      <c r="E1024" s="41"/>
      <c r="F1024" s="42"/>
    </row>
    <row r="1025" spans="2:6" ht="17" thickBot="1">
      <c r="B1025" s="54"/>
      <c r="C1025" s="35"/>
      <c r="D1025" s="35"/>
      <c r="E1025" s="44"/>
      <c r="F1025" s="45"/>
    </row>
    <row r="1026" spans="2:6" ht="17" thickTop="1">
      <c r="B1026" s="46"/>
      <c r="C1026" s="46"/>
      <c r="D1026" s="46"/>
      <c r="E1026" s="47"/>
      <c r="F1026" s="47"/>
    </row>
    <row r="1027" spans="2:6" ht="14" thickBot="1">
      <c r="B1027" s="1" t="s">
        <v>0</v>
      </c>
      <c r="C1027" s="1"/>
    </row>
    <row r="1028" spans="2:6" ht="17" thickBot="1">
      <c r="B1028" s="1" t="s">
        <v>1</v>
      </c>
      <c r="C1028" s="1"/>
      <c r="E1028" s="4" t="s">
        <v>2</v>
      </c>
      <c r="F1028" s="5"/>
    </row>
    <row r="1029" spans="2:6">
      <c r="B1029" s="6"/>
    </row>
    <row r="1030" spans="2:6" ht="16">
      <c r="B1030" s="7" t="s">
        <v>3</v>
      </c>
      <c r="C1030" s="7"/>
      <c r="D1030" s="7"/>
      <c r="E1030" s="7"/>
      <c r="F1030" s="7"/>
    </row>
    <row r="1031" spans="2:6" ht="16">
      <c r="B1031" s="8"/>
      <c r="C1031" s="8"/>
      <c r="D1031" s="8"/>
      <c r="E1031" s="8"/>
    </row>
    <row r="1032" spans="2:6" ht="20" customHeight="1">
      <c r="B1032" s="9" t="s">
        <v>4</v>
      </c>
      <c r="C1032" s="10" t="str">
        <f>C975</f>
        <v>MEJORAMIENTO ESPACIO PUBLICO JJVV LUCILA GODOY ALCAYAGA</v>
      </c>
      <c r="D1032" s="10"/>
      <c r="E1032" s="10"/>
      <c r="F1032" s="11"/>
    </row>
    <row r="1033" spans="2:6" ht="16">
      <c r="B1033" s="12"/>
      <c r="C1033" s="8"/>
      <c r="D1033" s="8"/>
      <c r="E1033" s="8"/>
    </row>
    <row r="1034" spans="2:6" ht="16">
      <c r="B1034" s="9" t="s">
        <v>5</v>
      </c>
      <c r="C1034" s="13" t="s">
        <v>6</v>
      </c>
      <c r="D1034" s="13"/>
      <c r="E1034" s="13"/>
      <c r="F1034" s="14"/>
    </row>
    <row r="1035" spans="2:6" ht="16">
      <c r="B1035" s="9"/>
      <c r="C1035" s="13"/>
      <c r="D1035" s="13"/>
      <c r="E1035" s="13"/>
      <c r="F1035" s="14"/>
    </row>
    <row r="1036" spans="2:6" ht="16">
      <c r="B1036" s="9" t="s">
        <v>7</v>
      </c>
      <c r="C1036" s="13" t="str">
        <f>[1]LGA!A33</f>
        <v>2.2.1</v>
      </c>
      <c r="D1036" s="13"/>
      <c r="E1036" s="13"/>
      <c r="F1036" s="14"/>
    </row>
    <row r="1037" spans="2:6" ht="16">
      <c r="B1037" s="9" t="s">
        <v>8</v>
      </c>
      <c r="C1037" s="13" t="s">
        <v>89</v>
      </c>
      <c r="D1037" s="13"/>
      <c r="E1037" s="13"/>
      <c r="F1037" s="14"/>
    </row>
    <row r="1038" spans="2:6" ht="16">
      <c r="B1038" s="9" t="s">
        <v>10</v>
      </c>
      <c r="C1038" s="13" t="s">
        <v>87</v>
      </c>
      <c r="D1038" s="13"/>
      <c r="E1038" s="13"/>
      <c r="F1038" s="14"/>
    </row>
    <row r="1039" spans="2:6" ht="16">
      <c r="B1039" s="9" t="s">
        <v>12</v>
      </c>
      <c r="C1039" s="15">
        <f>C982</f>
        <v>46024</v>
      </c>
      <c r="D1039" s="13"/>
      <c r="E1039" s="13"/>
      <c r="F1039" s="14"/>
    </row>
    <row r="1040" spans="2:6" ht="17" thickBot="1">
      <c r="B1040" s="8"/>
      <c r="C1040" s="8"/>
      <c r="D1040" s="8"/>
      <c r="E1040" s="8"/>
    </row>
    <row r="1041" spans="2:6" ht="15" thickTop="1" thickBot="1">
      <c r="B1041" s="16" t="s">
        <v>13</v>
      </c>
      <c r="C1041" s="17" t="s">
        <v>14</v>
      </c>
      <c r="D1041" s="17" t="s">
        <v>15</v>
      </c>
      <c r="E1041" s="17" t="s">
        <v>16</v>
      </c>
      <c r="F1041" s="18" t="s">
        <v>17</v>
      </c>
    </row>
    <row r="1042" spans="2:6" ht="14" thickTop="1">
      <c r="B1042" s="19"/>
      <c r="C1042" s="19"/>
      <c r="D1042" s="19"/>
      <c r="E1042" s="19"/>
      <c r="F1042" s="19"/>
    </row>
    <row r="1043" spans="2:6">
      <c r="B1043" s="20"/>
      <c r="C1043" s="21"/>
      <c r="D1043" s="21"/>
      <c r="E1043" s="22"/>
      <c r="F1043" s="22">
        <f t="shared" ref="F1043:F1048" si="16">E1043*D1043</f>
        <v>0</v>
      </c>
    </row>
    <row r="1044" spans="2:6">
      <c r="B1044" s="20"/>
      <c r="C1044" s="21"/>
      <c r="D1044" s="21"/>
      <c r="E1044" s="22"/>
      <c r="F1044" s="22">
        <f t="shared" si="16"/>
        <v>0</v>
      </c>
    </row>
    <row r="1045" spans="2:6">
      <c r="B1045" s="20"/>
      <c r="C1045" s="21"/>
      <c r="D1045" s="21"/>
      <c r="E1045" s="22"/>
      <c r="F1045" s="22">
        <f t="shared" si="16"/>
        <v>0</v>
      </c>
    </row>
    <row r="1046" spans="2:6">
      <c r="B1046" s="20"/>
      <c r="C1046" s="21"/>
      <c r="D1046" s="21"/>
      <c r="E1046" s="22"/>
      <c r="F1046" s="22">
        <f t="shared" si="16"/>
        <v>0</v>
      </c>
    </row>
    <row r="1047" spans="2:6">
      <c r="B1047" s="20"/>
      <c r="C1047" s="21"/>
      <c r="D1047" s="21"/>
      <c r="E1047" s="22"/>
      <c r="F1047" s="22">
        <f t="shared" si="16"/>
        <v>0</v>
      </c>
    </row>
    <row r="1048" spans="2:6">
      <c r="B1048" s="20"/>
      <c r="C1048" s="21"/>
      <c r="D1048" s="21"/>
      <c r="E1048" s="22"/>
      <c r="F1048" s="22">
        <f t="shared" si="16"/>
        <v>0</v>
      </c>
    </row>
    <row r="1049" spans="2:6" ht="17" thickBot="1">
      <c r="B1049" s="6" t="s">
        <v>19</v>
      </c>
      <c r="C1049" s="8"/>
      <c r="D1049" s="8"/>
      <c r="E1049" s="8"/>
      <c r="F1049" s="23">
        <f>SUM(F1043:F1048)</f>
        <v>0</v>
      </c>
    </row>
    <row r="1050" spans="2:6" ht="17" thickBot="1">
      <c r="B1050" s="8"/>
      <c r="C1050" s="8"/>
      <c r="D1050" s="8"/>
      <c r="E1050" s="8"/>
    </row>
    <row r="1051" spans="2:6" ht="15" thickTop="1" thickBot="1">
      <c r="B1051" s="16" t="s">
        <v>20</v>
      </c>
      <c r="C1051" s="17" t="s">
        <v>14</v>
      </c>
      <c r="D1051" s="17" t="s">
        <v>15</v>
      </c>
      <c r="E1051" s="17" t="s">
        <v>16</v>
      </c>
      <c r="F1051" s="18" t="s">
        <v>17</v>
      </c>
    </row>
    <row r="1052" spans="2:6" ht="17" thickTop="1">
      <c r="B1052" s="8"/>
      <c r="C1052" s="8"/>
      <c r="D1052" s="8"/>
      <c r="E1052" s="8"/>
    </row>
    <row r="1053" spans="2:6">
      <c r="B1053" s="24" t="s">
        <v>21</v>
      </c>
      <c r="C1053" s="20" t="s">
        <v>22</v>
      </c>
      <c r="D1053" s="20">
        <v>4.3999999999999997E-2</v>
      </c>
      <c r="E1053" s="22">
        <v>27500</v>
      </c>
      <c r="F1053" s="25">
        <f>E1053*D1053</f>
        <v>1210</v>
      </c>
    </row>
    <row r="1054" spans="2:6">
      <c r="B1054" s="20" t="s">
        <v>23</v>
      </c>
      <c r="C1054" s="20" t="s">
        <v>22</v>
      </c>
      <c r="D1054" s="20">
        <v>4.3999999999999997E-2</v>
      </c>
      <c r="E1054" s="22">
        <v>15000</v>
      </c>
      <c r="F1054" s="25">
        <f>E1054*D1054</f>
        <v>660</v>
      </c>
    </row>
    <row r="1055" spans="2:6" ht="16">
      <c r="B1055" s="26"/>
      <c r="C1055" s="26"/>
      <c r="D1055" s="26"/>
      <c r="E1055" s="26"/>
      <c r="F1055" s="25">
        <f>E1055*D1055</f>
        <v>0</v>
      </c>
    </row>
    <row r="1056" spans="2:6" ht="16">
      <c r="B1056" s="26"/>
      <c r="C1056" s="26"/>
      <c r="D1056" s="26"/>
      <c r="E1056" s="26"/>
      <c r="F1056" s="25">
        <f>E1056*D1056</f>
        <v>0</v>
      </c>
    </row>
    <row r="1057" spans="2:6" ht="16">
      <c r="B1057" s="27" t="s">
        <v>25</v>
      </c>
      <c r="C1057" s="27" t="s">
        <v>26</v>
      </c>
      <c r="D1057" s="28">
        <v>0.32</v>
      </c>
      <c r="E1057" s="29">
        <f>SUM(E1053:E1056)*D1057</f>
        <v>13600</v>
      </c>
      <c r="F1057" s="25">
        <f>E1057*D1057</f>
        <v>4352</v>
      </c>
    </row>
    <row r="1058" spans="2:6" ht="16">
      <c r="B1058" s="8"/>
      <c r="C1058" s="8"/>
      <c r="D1058" s="8"/>
      <c r="E1058" s="8"/>
    </row>
    <row r="1059" spans="2:6" ht="17" thickBot="1">
      <c r="B1059" s="6" t="s">
        <v>27</v>
      </c>
      <c r="C1059" s="8"/>
      <c r="D1059" s="8"/>
      <c r="E1059" s="8"/>
      <c r="F1059" s="23">
        <f>SUM(F1053:F1058)</f>
        <v>6222</v>
      </c>
    </row>
    <row r="1060" spans="2:6" ht="17" thickBot="1">
      <c r="B1060" s="8"/>
      <c r="C1060" s="8"/>
      <c r="D1060" s="8"/>
      <c r="E1060" s="8"/>
    </row>
    <row r="1061" spans="2:6" ht="15" thickTop="1" thickBot="1">
      <c r="B1061" s="16" t="s">
        <v>28</v>
      </c>
      <c r="C1061" s="17" t="s">
        <v>14</v>
      </c>
      <c r="D1061" s="17" t="s">
        <v>15</v>
      </c>
      <c r="E1061" s="17" t="s">
        <v>16</v>
      </c>
      <c r="F1061" s="18" t="s">
        <v>17</v>
      </c>
    </row>
    <row r="1062" spans="2:6" ht="17" thickTop="1">
      <c r="B1062" s="8"/>
      <c r="C1062" s="8"/>
      <c r="D1062" s="8"/>
      <c r="E1062" s="8"/>
    </row>
    <row r="1063" spans="2:6">
      <c r="B1063" s="20" t="s">
        <v>64</v>
      </c>
      <c r="C1063" s="20" t="s">
        <v>30</v>
      </c>
      <c r="D1063" s="20">
        <v>0.1</v>
      </c>
      <c r="E1063" s="22">
        <v>45000</v>
      </c>
      <c r="F1063" s="25">
        <f>E1063*D1063</f>
        <v>4500</v>
      </c>
    </row>
    <row r="1064" spans="2:6">
      <c r="B1064" s="20" t="s">
        <v>90</v>
      </c>
      <c r="C1064" s="20" t="s">
        <v>30</v>
      </c>
      <c r="D1064" s="20">
        <v>0.1</v>
      </c>
      <c r="E1064" s="22">
        <v>65000</v>
      </c>
      <c r="F1064" s="25">
        <f>E1064*D1064</f>
        <v>6500</v>
      </c>
    </row>
    <row r="1065" spans="2:6" ht="16">
      <c r="B1065" s="26"/>
      <c r="C1065" s="26"/>
      <c r="D1065" s="26"/>
      <c r="E1065" s="26"/>
      <c r="F1065" s="25">
        <f>E1065*D1065</f>
        <v>0</v>
      </c>
    </row>
    <row r="1066" spans="2:6" ht="16">
      <c r="B1066" s="26"/>
      <c r="C1066" s="26"/>
      <c r="D1066" s="26"/>
      <c r="E1066" s="26"/>
      <c r="F1066" s="25">
        <f>E1066*D1066</f>
        <v>0</v>
      </c>
    </row>
    <row r="1067" spans="2:6" ht="16">
      <c r="B1067" s="30"/>
      <c r="C1067" s="26"/>
      <c r="D1067" s="26"/>
      <c r="E1067" s="26"/>
      <c r="F1067" s="25">
        <f>E1067*D1067</f>
        <v>0</v>
      </c>
    </row>
    <row r="1068" spans="2:6" ht="16">
      <c r="B1068" s="8"/>
      <c r="C1068" s="8"/>
      <c r="D1068" s="8"/>
      <c r="E1068" s="8"/>
    </row>
    <row r="1069" spans="2:6" ht="14" thickBot="1">
      <c r="B1069" s="19" t="s">
        <v>33</v>
      </c>
      <c r="C1069" s="19"/>
      <c r="D1069" s="19"/>
      <c r="E1069" s="19"/>
      <c r="F1069" s="23">
        <f>SUM(F1063:F1068)</f>
        <v>11000</v>
      </c>
    </row>
    <row r="1070" spans="2:6" ht="16">
      <c r="B1070" s="8"/>
      <c r="C1070" s="8"/>
      <c r="D1070" s="8"/>
      <c r="E1070" s="8"/>
    </row>
    <row r="1071" spans="2:6" ht="17" thickBot="1">
      <c r="B1071" s="8"/>
      <c r="C1071" s="8"/>
      <c r="D1071" s="8"/>
      <c r="E1071" s="8"/>
    </row>
    <row r="1072" spans="2:6" ht="17" thickBot="1">
      <c r="B1072" s="31" t="s">
        <v>34</v>
      </c>
      <c r="C1072" s="13"/>
      <c r="D1072" s="13"/>
      <c r="E1072" s="13"/>
      <c r="F1072" s="32">
        <f>F1049+F1059+F1069</f>
        <v>17222</v>
      </c>
    </row>
    <row r="1073" spans="2:6" ht="17" thickBot="1">
      <c r="B1073" s="31" t="s">
        <v>35</v>
      </c>
      <c r="C1073" s="13"/>
      <c r="D1073" s="13"/>
      <c r="E1073" s="33">
        <v>0.1</v>
      </c>
      <c r="F1073" s="32">
        <f>F1072*E1073</f>
        <v>1722.2</v>
      </c>
    </row>
    <row r="1074" spans="2:6" ht="17" thickBot="1">
      <c r="B1074" s="31" t="s">
        <v>36</v>
      </c>
      <c r="C1074" s="13"/>
      <c r="D1074" s="13"/>
      <c r="E1074" s="33">
        <v>0.1</v>
      </c>
      <c r="F1074" s="32">
        <f>F1072*E1074</f>
        <v>1722.2</v>
      </c>
    </row>
    <row r="1075" spans="2:6" ht="17" thickBot="1">
      <c r="B1075" s="34" t="s">
        <v>37</v>
      </c>
      <c r="C1075" s="35"/>
      <c r="D1075" s="35"/>
      <c r="E1075" s="35"/>
      <c r="F1075" s="32">
        <f>SUM(F1072:F1074)</f>
        <v>20666.400000000001</v>
      </c>
    </row>
    <row r="1076" spans="2:6" ht="17" thickBot="1">
      <c r="B1076" s="36"/>
      <c r="C1076" s="8"/>
      <c r="D1076" s="8"/>
      <c r="E1076" s="8"/>
    </row>
    <row r="1077" spans="2:6" ht="18" thickTop="1" thickBot="1">
      <c r="B1077" s="37" t="s">
        <v>38</v>
      </c>
      <c r="C1077" s="8"/>
      <c r="D1077" s="8"/>
      <c r="E1077" s="8"/>
    </row>
    <row r="1078" spans="2:6" ht="18" thickTop="1" thickBot="1">
      <c r="B1078" s="8"/>
      <c r="C1078" s="8"/>
      <c r="D1078" s="8"/>
      <c r="E1078" s="8"/>
    </row>
    <row r="1079" spans="2:6" ht="17" thickTop="1">
      <c r="B1079" s="38"/>
      <c r="C1079" s="13"/>
      <c r="D1079" s="13"/>
      <c r="E1079" s="39"/>
      <c r="F1079" s="40"/>
    </row>
    <row r="1080" spans="2:6" ht="16">
      <c r="B1080" s="38"/>
      <c r="C1080" s="13"/>
      <c r="D1080" s="13"/>
      <c r="E1080" s="41"/>
      <c r="F1080" s="42"/>
    </row>
    <row r="1081" spans="2:6" ht="16">
      <c r="B1081" s="38"/>
      <c r="C1081" s="13"/>
      <c r="D1081" s="13"/>
      <c r="E1081" s="41"/>
      <c r="F1081" s="42"/>
    </row>
    <row r="1082" spans="2:6" ht="17" thickBot="1">
      <c r="B1082" s="54"/>
      <c r="C1082" s="35"/>
      <c r="D1082" s="35"/>
      <c r="E1082" s="44"/>
      <c r="F1082" s="45"/>
    </row>
    <row r="1083" spans="2:6" ht="14" thickTop="1"/>
    <row r="1084" spans="2:6" ht="14" thickBot="1">
      <c r="B1084" s="1" t="s">
        <v>0</v>
      </c>
      <c r="C1084" s="1"/>
    </row>
    <row r="1085" spans="2:6" ht="17" thickBot="1">
      <c r="B1085" s="1" t="s">
        <v>1</v>
      </c>
      <c r="C1085" s="1"/>
      <c r="E1085" s="4" t="s">
        <v>2</v>
      </c>
      <c r="F1085" s="5"/>
    </row>
    <row r="1086" spans="2:6">
      <c r="B1086" s="6"/>
    </row>
    <row r="1087" spans="2:6" ht="16">
      <c r="B1087" s="7" t="s">
        <v>3</v>
      </c>
      <c r="C1087" s="7"/>
      <c r="D1087" s="7"/>
      <c r="E1087" s="7"/>
      <c r="F1087" s="7"/>
    </row>
    <row r="1088" spans="2:6" ht="16">
      <c r="B1088" s="8"/>
      <c r="C1088" s="8"/>
      <c r="D1088" s="8"/>
      <c r="E1088" s="8"/>
    </row>
    <row r="1089" spans="2:6" ht="23" customHeight="1">
      <c r="B1089" s="9" t="s">
        <v>4</v>
      </c>
      <c r="C1089" s="10" t="str">
        <f>C1032</f>
        <v>MEJORAMIENTO ESPACIO PUBLICO JJVV LUCILA GODOY ALCAYAGA</v>
      </c>
      <c r="D1089" s="10"/>
      <c r="E1089" s="10"/>
      <c r="F1089" s="11"/>
    </row>
    <row r="1090" spans="2:6" ht="16">
      <c r="B1090" s="12"/>
      <c r="C1090" s="8"/>
      <c r="D1090" s="8"/>
      <c r="E1090" s="8"/>
    </row>
    <row r="1091" spans="2:6" ht="16">
      <c r="B1091" s="9" t="s">
        <v>5</v>
      </c>
      <c r="C1091" s="13" t="s">
        <v>6</v>
      </c>
      <c r="D1091" s="13"/>
      <c r="E1091" s="13"/>
      <c r="F1091" s="14"/>
    </row>
    <row r="1092" spans="2:6" ht="16">
      <c r="B1092" s="9"/>
      <c r="C1092" s="13"/>
      <c r="D1092" s="13"/>
      <c r="E1092" s="13"/>
      <c r="F1092" s="14"/>
    </row>
    <row r="1093" spans="2:6" ht="16">
      <c r="B1093" s="9" t="s">
        <v>7</v>
      </c>
      <c r="C1093" s="13" t="str">
        <f>[1]LGA!A34</f>
        <v>2.2.2</v>
      </c>
      <c r="D1093" s="13"/>
      <c r="E1093" s="13"/>
      <c r="F1093" s="14"/>
    </row>
    <row r="1094" spans="2:6" ht="16">
      <c r="B1094" s="9" t="s">
        <v>8</v>
      </c>
      <c r="C1094" s="13" t="s">
        <v>126</v>
      </c>
      <c r="D1094" s="13"/>
      <c r="E1094" s="13"/>
      <c r="F1094" s="14"/>
    </row>
    <row r="1095" spans="2:6" ht="16">
      <c r="B1095" s="9" t="s">
        <v>10</v>
      </c>
      <c r="C1095" s="13" t="s">
        <v>87</v>
      </c>
      <c r="D1095" s="13"/>
      <c r="E1095" s="13"/>
      <c r="F1095" s="14"/>
    </row>
    <row r="1096" spans="2:6" ht="16">
      <c r="B1096" s="9" t="s">
        <v>12</v>
      </c>
      <c r="C1096" s="15">
        <f>C1039</f>
        <v>46024</v>
      </c>
      <c r="D1096" s="13"/>
      <c r="E1096" s="13"/>
      <c r="F1096" s="14"/>
    </row>
    <row r="1097" spans="2:6" ht="17" thickBot="1">
      <c r="B1097" s="8"/>
      <c r="C1097" s="8"/>
      <c r="D1097" s="8"/>
      <c r="E1097" s="8"/>
    </row>
    <row r="1098" spans="2:6" ht="15" thickTop="1" thickBot="1">
      <c r="B1098" s="16" t="s">
        <v>13</v>
      </c>
      <c r="C1098" s="17" t="s">
        <v>14</v>
      </c>
      <c r="D1098" s="17" t="s">
        <v>15</v>
      </c>
      <c r="E1098" s="17" t="s">
        <v>16</v>
      </c>
      <c r="F1098" s="18" t="s">
        <v>17</v>
      </c>
    </row>
    <row r="1099" spans="2:6" ht="14" thickTop="1">
      <c r="B1099" s="19"/>
      <c r="C1099" s="19"/>
      <c r="D1099" s="19"/>
      <c r="E1099" s="19"/>
      <c r="F1099" s="19"/>
    </row>
    <row r="1100" spans="2:6">
      <c r="B1100" s="20" t="s">
        <v>127</v>
      </c>
      <c r="C1100" s="21" t="s">
        <v>128</v>
      </c>
      <c r="D1100" s="21">
        <v>1</v>
      </c>
      <c r="E1100" s="22">
        <v>18000</v>
      </c>
      <c r="F1100" s="22">
        <f t="shared" ref="F1100:F1105" si="17">E1100*D1100</f>
        <v>18000</v>
      </c>
    </row>
    <row r="1101" spans="2:6">
      <c r="B1101" s="20" t="s">
        <v>129</v>
      </c>
      <c r="C1101" s="21" t="s">
        <v>128</v>
      </c>
      <c r="D1101" s="21">
        <v>0.09</v>
      </c>
      <c r="E1101" s="22">
        <v>15000</v>
      </c>
      <c r="F1101" s="22">
        <f t="shared" si="17"/>
        <v>1350</v>
      </c>
    </row>
    <row r="1102" spans="2:6">
      <c r="B1102" s="20" t="s">
        <v>130</v>
      </c>
      <c r="C1102" s="21" t="s">
        <v>128</v>
      </c>
      <c r="D1102" s="21">
        <v>0.09</v>
      </c>
      <c r="E1102" s="22">
        <v>55000</v>
      </c>
      <c r="F1102" s="22">
        <f t="shared" si="17"/>
        <v>4950</v>
      </c>
    </row>
    <row r="1103" spans="2:6">
      <c r="B1103" s="20"/>
      <c r="C1103" s="21"/>
      <c r="D1103" s="21"/>
      <c r="E1103" s="22"/>
      <c r="F1103" s="22">
        <f t="shared" si="17"/>
        <v>0</v>
      </c>
    </row>
    <row r="1104" spans="2:6">
      <c r="B1104" s="20"/>
      <c r="C1104" s="21"/>
      <c r="D1104" s="21"/>
      <c r="E1104" s="22"/>
      <c r="F1104" s="22">
        <f t="shared" si="17"/>
        <v>0</v>
      </c>
    </row>
    <row r="1105" spans="2:6">
      <c r="B1105" s="20"/>
      <c r="C1105" s="21"/>
      <c r="D1105" s="21"/>
      <c r="E1105" s="22"/>
      <c r="F1105" s="22">
        <f t="shared" si="17"/>
        <v>0</v>
      </c>
    </row>
    <row r="1106" spans="2:6" ht="17" thickBot="1">
      <c r="B1106" s="6" t="s">
        <v>19</v>
      </c>
      <c r="C1106" s="8"/>
      <c r="D1106" s="8"/>
      <c r="E1106" s="8"/>
      <c r="F1106" s="23">
        <f>SUM(F1100:F1105)</f>
        <v>24300</v>
      </c>
    </row>
    <row r="1107" spans="2:6" ht="17" thickBot="1">
      <c r="B1107" s="8"/>
      <c r="C1107" s="8"/>
      <c r="D1107" s="8"/>
      <c r="E1107" s="8"/>
    </row>
    <row r="1108" spans="2:6" ht="15" thickTop="1" thickBot="1">
      <c r="B1108" s="16" t="s">
        <v>20</v>
      </c>
      <c r="C1108" s="17" t="s">
        <v>14</v>
      </c>
      <c r="D1108" s="17" t="s">
        <v>15</v>
      </c>
      <c r="E1108" s="17" t="s">
        <v>16</v>
      </c>
      <c r="F1108" s="18" t="s">
        <v>17</v>
      </c>
    </row>
    <row r="1109" spans="2:6" ht="17" thickTop="1">
      <c r="B1109" s="8"/>
      <c r="C1109" s="8"/>
      <c r="D1109" s="8"/>
      <c r="E1109" s="8"/>
    </row>
    <row r="1110" spans="2:6">
      <c r="B1110" s="24" t="s">
        <v>21</v>
      </c>
      <c r="C1110" s="20" t="s">
        <v>22</v>
      </c>
      <c r="D1110" s="20">
        <v>4.3999999999999997E-2</v>
      </c>
      <c r="E1110" s="22">
        <v>27500</v>
      </c>
      <c r="F1110" s="25">
        <f>E1110*D1110</f>
        <v>1210</v>
      </c>
    </row>
    <row r="1111" spans="2:6">
      <c r="B1111" s="20" t="s">
        <v>23</v>
      </c>
      <c r="C1111" s="20" t="s">
        <v>22</v>
      </c>
      <c r="D1111" s="20">
        <v>4.3999999999999997E-2</v>
      </c>
      <c r="E1111" s="22">
        <v>15000</v>
      </c>
      <c r="F1111" s="25">
        <f>E1111*D1111</f>
        <v>660</v>
      </c>
    </row>
    <row r="1112" spans="2:6" ht="16">
      <c r="B1112" s="26"/>
      <c r="C1112" s="26"/>
      <c r="D1112" s="26"/>
      <c r="E1112" s="26"/>
      <c r="F1112" s="25">
        <f>E1112*D1112</f>
        <v>0</v>
      </c>
    </row>
    <row r="1113" spans="2:6" ht="16">
      <c r="B1113" s="26"/>
      <c r="C1113" s="26"/>
      <c r="D1113" s="26"/>
      <c r="E1113" s="26"/>
      <c r="F1113" s="25">
        <f>E1113*D1113</f>
        <v>0</v>
      </c>
    </row>
    <row r="1114" spans="2:6" ht="16">
      <c r="B1114" s="27" t="s">
        <v>25</v>
      </c>
      <c r="C1114" s="27" t="s">
        <v>26</v>
      </c>
      <c r="D1114" s="28">
        <v>0.32</v>
      </c>
      <c r="E1114" s="29">
        <f>SUM(E1110:E1113)*D1114</f>
        <v>13600</v>
      </c>
      <c r="F1114" s="25">
        <f>SUM(F1110:F1113)*D1114</f>
        <v>598.4</v>
      </c>
    </row>
    <row r="1115" spans="2:6" ht="16">
      <c r="B1115" s="8"/>
      <c r="C1115" s="8"/>
      <c r="D1115" s="8"/>
      <c r="E1115" s="8"/>
    </row>
    <row r="1116" spans="2:6" ht="17" thickBot="1">
      <c r="B1116" s="6" t="s">
        <v>27</v>
      </c>
      <c r="C1116" s="8"/>
      <c r="D1116" s="8"/>
      <c r="E1116" s="8"/>
      <c r="F1116" s="23">
        <f>SUM(F1110:F1115)*D1114</f>
        <v>789.88800000000003</v>
      </c>
    </row>
    <row r="1117" spans="2:6" ht="17" thickBot="1">
      <c r="B1117" s="8"/>
      <c r="C1117" s="8"/>
      <c r="D1117" s="8"/>
      <c r="E1117" s="8"/>
    </row>
    <row r="1118" spans="2:6" ht="15" thickTop="1" thickBot="1">
      <c r="B1118" s="16" t="s">
        <v>28</v>
      </c>
      <c r="C1118" s="17" t="s">
        <v>14</v>
      </c>
      <c r="D1118" s="17" t="s">
        <v>15</v>
      </c>
      <c r="E1118" s="17" t="s">
        <v>16</v>
      </c>
      <c r="F1118" s="18" t="s">
        <v>17</v>
      </c>
    </row>
    <row r="1119" spans="2:6" ht="17" thickTop="1">
      <c r="B1119" s="8"/>
      <c r="C1119" s="8"/>
      <c r="D1119" s="8"/>
      <c r="E1119" s="8"/>
    </row>
    <row r="1120" spans="2:6">
      <c r="B1120" s="20" t="s">
        <v>131</v>
      </c>
      <c r="C1120" s="20" t="s">
        <v>32</v>
      </c>
      <c r="D1120" s="68">
        <v>0.01</v>
      </c>
      <c r="E1120" s="22">
        <v>65000</v>
      </c>
      <c r="F1120" s="25">
        <f>E1120*D1120</f>
        <v>650</v>
      </c>
    </row>
    <row r="1121" spans="2:6">
      <c r="B1121" s="20" t="s">
        <v>31</v>
      </c>
      <c r="C1121" s="20" t="s">
        <v>32</v>
      </c>
      <c r="D1121" s="68">
        <v>0.01</v>
      </c>
      <c r="E1121" s="22">
        <v>25000</v>
      </c>
      <c r="F1121" s="25">
        <f>E1121*D1121</f>
        <v>250</v>
      </c>
    </row>
    <row r="1122" spans="2:6" ht="16">
      <c r="B1122" s="26"/>
      <c r="C1122" s="26"/>
      <c r="D1122" s="26"/>
      <c r="E1122" s="26"/>
      <c r="F1122" s="25">
        <f>E1122*D1122</f>
        <v>0</v>
      </c>
    </row>
    <row r="1123" spans="2:6" ht="16">
      <c r="B1123" s="26"/>
      <c r="C1123" s="26"/>
      <c r="D1123" s="26"/>
      <c r="E1123" s="26"/>
      <c r="F1123" s="25">
        <f>E1123*D1123</f>
        <v>0</v>
      </c>
    </row>
    <row r="1124" spans="2:6" ht="16">
      <c r="B1124" s="30"/>
      <c r="C1124" s="26"/>
      <c r="D1124" s="26"/>
      <c r="E1124" s="26"/>
      <c r="F1124" s="25">
        <f>E1124*D1124</f>
        <v>0</v>
      </c>
    </row>
    <row r="1125" spans="2:6" ht="16">
      <c r="B1125" s="8"/>
      <c r="C1125" s="8"/>
      <c r="D1125" s="8"/>
      <c r="E1125" s="8"/>
    </row>
    <row r="1126" spans="2:6" ht="14" thickBot="1">
      <c r="B1126" s="19" t="s">
        <v>33</v>
      </c>
      <c r="C1126" s="19"/>
      <c r="D1126" s="19"/>
      <c r="E1126" s="19"/>
      <c r="F1126" s="23">
        <f>SUM(F1120:F1125)</f>
        <v>900</v>
      </c>
    </row>
    <row r="1127" spans="2:6" ht="16">
      <c r="B1127" s="8"/>
      <c r="C1127" s="8"/>
      <c r="D1127" s="8"/>
      <c r="E1127" s="8"/>
    </row>
    <row r="1128" spans="2:6" ht="17" thickBot="1">
      <c r="B1128" s="8"/>
      <c r="C1128" s="8"/>
      <c r="D1128" s="8"/>
      <c r="E1128" s="8"/>
    </row>
    <row r="1129" spans="2:6" ht="17" thickBot="1">
      <c r="B1129" s="31" t="s">
        <v>34</v>
      </c>
      <c r="C1129" s="13"/>
      <c r="D1129" s="13"/>
      <c r="E1129" s="13"/>
      <c r="F1129" s="32">
        <f>F1106+F1116+F1126</f>
        <v>25989.887999999999</v>
      </c>
    </row>
    <row r="1130" spans="2:6" ht="17" thickBot="1">
      <c r="B1130" s="31" t="s">
        <v>35</v>
      </c>
      <c r="C1130" s="13"/>
      <c r="D1130" s="13"/>
      <c r="E1130" s="33">
        <v>0.1</v>
      </c>
      <c r="F1130" s="32">
        <f>F1129*E1130</f>
        <v>2598.9888000000001</v>
      </c>
    </row>
    <row r="1131" spans="2:6" ht="17" thickBot="1">
      <c r="B1131" s="31" t="s">
        <v>36</v>
      </c>
      <c r="C1131" s="13"/>
      <c r="D1131" s="13"/>
      <c r="E1131" s="33">
        <f>E1074</f>
        <v>0.1</v>
      </c>
      <c r="F1131" s="32">
        <f>F1129*E1131</f>
        <v>2598.9888000000001</v>
      </c>
    </row>
    <row r="1132" spans="2:6" ht="17" thickBot="1">
      <c r="B1132" s="34" t="s">
        <v>37</v>
      </c>
      <c r="C1132" s="35"/>
      <c r="D1132" s="35"/>
      <c r="E1132" s="35"/>
      <c r="F1132" s="32">
        <f>SUM(F1129:F1131)</f>
        <v>31187.865599999997</v>
      </c>
    </row>
    <row r="1133" spans="2:6" ht="17" thickBot="1">
      <c r="B1133" s="36"/>
      <c r="C1133" s="8"/>
      <c r="D1133" s="8"/>
      <c r="E1133" s="8"/>
    </row>
    <row r="1134" spans="2:6" ht="18" thickTop="1" thickBot="1">
      <c r="B1134" s="37" t="s">
        <v>38</v>
      </c>
      <c r="C1134" s="8"/>
      <c r="D1134" s="8"/>
      <c r="E1134" s="8"/>
    </row>
    <row r="1135" spans="2:6" ht="18" thickTop="1" thickBot="1">
      <c r="B1135" s="8"/>
      <c r="C1135" s="8"/>
      <c r="D1135" s="8"/>
      <c r="E1135" s="8"/>
    </row>
    <row r="1136" spans="2:6" ht="17" thickTop="1">
      <c r="B1136" s="38"/>
      <c r="C1136" s="13"/>
      <c r="D1136" s="13"/>
      <c r="E1136" s="39"/>
      <c r="F1136" s="40"/>
    </row>
    <row r="1137" spans="2:6" ht="16">
      <c r="B1137" s="38"/>
      <c r="C1137" s="13"/>
      <c r="D1137" s="13"/>
      <c r="E1137" s="41"/>
      <c r="F1137" s="42"/>
    </row>
    <row r="1138" spans="2:6" ht="16">
      <c r="B1138" s="38"/>
      <c r="C1138" s="13"/>
      <c r="D1138" s="13"/>
      <c r="E1138" s="41"/>
      <c r="F1138" s="42"/>
    </row>
    <row r="1139" spans="2:6" ht="17" thickBot="1">
      <c r="B1139" s="54"/>
      <c r="C1139" s="35"/>
      <c r="D1139" s="35"/>
      <c r="E1139" s="44"/>
      <c r="F1139" s="45"/>
    </row>
    <row r="1140" spans="2:6" ht="14" thickTop="1"/>
    <row r="1141" spans="2:6" ht="14" thickBot="1">
      <c r="B1141" s="1" t="s">
        <v>0</v>
      </c>
      <c r="C1141" s="1"/>
    </row>
    <row r="1142" spans="2:6" ht="17" thickBot="1">
      <c r="B1142" s="1" t="s">
        <v>1</v>
      </c>
      <c r="C1142" s="1"/>
      <c r="E1142" s="4" t="s">
        <v>2</v>
      </c>
      <c r="F1142" s="5"/>
    </row>
    <row r="1143" spans="2:6">
      <c r="B1143" s="6"/>
    </row>
    <row r="1144" spans="2:6" ht="16">
      <c r="B1144" s="7" t="s">
        <v>3</v>
      </c>
      <c r="C1144" s="7"/>
      <c r="D1144" s="7"/>
      <c r="E1144" s="7"/>
      <c r="F1144" s="7"/>
    </row>
    <row r="1145" spans="2:6" ht="16">
      <c r="B1145" s="8"/>
      <c r="C1145" s="8"/>
      <c r="D1145" s="8"/>
      <c r="E1145" s="8"/>
    </row>
    <row r="1146" spans="2:6" ht="23" customHeight="1">
      <c r="B1146" s="9" t="s">
        <v>4</v>
      </c>
      <c r="C1146" s="10" t="str">
        <f>C1089</f>
        <v>MEJORAMIENTO ESPACIO PUBLICO JJVV LUCILA GODOY ALCAYAGA</v>
      </c>
      <c r="D1146" s="10"/>
      <c r="E1146" s="10"/>
      <c r="F1146" s="11"/>
    </row>
    <row r="1147" spans="2:6" ht="16">
      <c r="B1147" s="12"/>
      <c r="C1147" s="8"/>
      <c r="D1147" s="8"/>
      <c r="E1147" s="8"/>
    </row>
    <row r="1148" spans="2:6" ht="16">
      <c r="B1148" s="9" t="s">
        <v>5</v>
      </c>
      <c r="C1148" s="13" t="s">
        <v>6</v>
      </c>
      <c r="D1148" s="13"/>
      <c r="E1148" s="13"/>
      <c r="F1148" s="14"/>
    </row>
    <row r="1149" spans="2:6" ht="16">
      <c r="B1149" s="9"/>
      <c r="C1149" s="13"/>
      <c r="D1149" s="13"/>
      <c r="E1149" s="13"/>
      <c r="F1149" s="14"/>
    </row>
    <row r="1150" spans="2:6" ht="16">
      <c r="B1150" s="9" t="s">
        <v>7</v>
      </c>
      <c r="C1150" s="13" t="str">
        <f>[1]LGA!A35</f>
        <v>2.2.3</v>
      </c>
      <c r="D1150" s="13"/>
      <c r="E1150" s="13"/>
      <c r="F1150" s="14"/>
    </row>
    <row r="1151" spans="2:6" ht="16">
      <c r="B1151" s="9" t="s">
        <v>8</v>
      </c>
      <c r="C1151" s="13" t="s">
        <v>132</v>
      </c>
      <c r="D1151" s="13"/>
      <c r="E1151" s="13"/>
      <c r="F1151" s="14"/>
    </row>
    <row r="1152" spans="2:6" ht="16">
      <c r="B1152" s="9" t="s">
        <v>10</v>
      </c>
      <c r="C1152" s="13" t="s">
        <v>87</v>
      </c>
      <c r="D1152" s="13"/>
      <c r="E1152" s="13"/>
      <c r="F1152" s="14"/>
    </row>
    <row r="1153" spans="2:6" ht="16">
      <c r="B1153" s="9" t="s">
        <v>12</v>
      </c>
      <c r="C1153" s="15">
        <f>C1096</f>
        <v>46024</v>
      </c>
      <c r="D1153" s="13"/>
      <c r="E1153" s="13"/>
      <c r="F1153" s="14"/>
    </row>
    <row r="1154" spans="2:6" ht="17" thickBot="1">
      <c r="B1154" s="8"/>
      <c r="C1154" s="8"/>
      <c r="D1154" s="8"/>
      <c r="E1154" s="8"/>
    </row>
    <row r="1155" spans="2:6" ht="15" thickTop="1" thickBot="1">
      <c r="B1155" s="16" t="s">
        <v>13</v>
      </c>
      <c r="C1155" s="17" t="s">
        <v>14</v>
      </c>
      <c r="D1155" s="17" t="s">
        <v>15</v>
      </c>
      <c r="E1155" s="17" t="s">
        <v>16</v>
      </c>
      <c r="F1155" s="18" t="s">
        <v>17</v>
      </c>
    </row>
    <row r="1156" spans="2:6" ht="14" thickTop="1">
      <c r="B1156" s="19"/>
      <c r="C1156" s="19"/>
      <c r="D1156" s="19"/>
      <c r="E1156" s="19"/>
      <c r="F1156" s="19"/>
    </row>
    <row r="1157" spans="2:6">
      <c r="B1157" s="20" t="s">
        <v>133</v>
      </c>
      <c r="C1157" s="21" t="s">
        <v>122</v>
      </c>
      <c r="D1157" s="21">
        <v>1</v>
      </c>
      <c r="E1157" s="22">
        <v>4200</v>
      </c>
      <c r="F1157" s="22">
        <f t="shared" ref="F1157:F1162" si="18">E1157*D1157</f>
        <v>4200</v>
      </c>
    </row>
    <row r="1158" spans="2:6">
      <c r="B1158" s="20" t="s">
        <v>134</v>
      </c>
      <c r="C1158" s="21" t="s">
        <v>122</v>
      </c>
      <c r="D1158" s="21">
        <v>1</v>
      </c>
      <c r="E1158" s="22">
        <v>5200</v>
      </c>
      <c r="F1158" s="22">
        <f t="shared" si="18"/>
        <v>5200</v>
      </c>
    </row>
    <row r="1159" spans="2:6">
      <c r="B1159" s="20" t="s">
        <v>135</v>
      </c>
      <c r="C1159" s="21" t="s">
        <v>122</v>
      </c>
      <c r="D1159" s="21">
        <v>1</v>
      </c>
      <c r="E1159" s="22">
        <v>9200</v>
      </c>
      <c r="F1159" s="22">
        <f t="shared" si="18"/>
        <v>9200</v>
      </c>
    </row>
    <row r="1160" spans="2:6">
      <c r="B1160" s="20"/>
      <c r="C1160" s="21"/>
      <c r="D1160" s="21"/>
      <c r="E1160" s="22"/>
      <c r="F1160" s="22">
        <f t="shared" si="18"/>
        <v>0</v>
      </c>
    </row>
    <row r="1161" spans="2:6">
      <c r="B1161" s="20"/>
      <c r="C1161" s="21"/>
      <c r="D1161" s="21"/>
      <c r="E1161" s="22"/>
      <c r="F1161" s="22">
        <f t="shared" si="18"/>
        <v>0</v>
      </c>
    </row>
    <row r="1162" spans="2:6">
      <c r="B1162" s="20"/>
      <c r="C1162" s="21"/>
      <c r="D1162" s="21"/>
      <c r="E1162" s="22"/>
      <c r="F1162" s="22">
        <f t="shared" si="18"/>
        <v>0</v>
      </c>
    </row>
    <row r="1163" spans="2:6" ht="17" thickBot="1">
      <c r="B1163" s="6" t="s">
        <v>19</v>
      </c>
      <c r="C1163" s="8"/>
      <c r="D1163" s="8"/>
      <c r="E1163" s="8"/>
      <c r="F1163" s="23">
        <f>SUM(F1157:F1162)</f>
        <v>18600</v>
      </c>
    </row>
    <row r="1164" spans="2:6" ht="17" thickBot="1">
      <c r="B1164" s="8"/>
      <c r="C1164" s="8"/>
      <c r="D1164" s="8"/>
      <c r="E1164" s="8"/>
    </row>
    <row r="1165" spans="2:6" ht="15" thickTop="1" thickBot="1">
      <c r="B1165" s="16" t="s">
        <v>20</v>
      </c>
      <c r="C1165" s="17" t="s">
        <v>14</v>
      </c>
      <c r="D1165" s="17" t="s">
        <v>15</v>
      </c>
      <c r="E1165" s="17" t="s">
        <v>16</v>
      </c>
      <c r="F1165" s="18" t="s">
        <v>17</v>
      </c>
    </row>
    <row r="1166" spans="2:6" ht="17" thickTop="1">
      <c r="B1166" s="8"/>
      <c r="C1166" s="8"/>
      <c r="D1166" s="8"/>
      <c r="E1166" s="8"/>
    </row>
    <row r="1167" spans="2:6">
      <c r="B1167" s="24" t="s">
        <v>21</v>
      </c>
      <c r="C1167" s="20" t="s">
        <v>22</v>
      </c>
      <c r="D1167" s="20">
        <v>4.3999999999999997E-2</v>
      </c>
      <c r="E1167" s="22">
        <v>27500</v>
      </c>
      <c r="F1167" s="25">
        <f>E1167*D1167</f>
        <v>1210</v>
      </c>
    </row>
    <row r="1168" spans="2:6">
      <c r="B1168" s="20" t="s">
        <v>23</v>
      </c>
      <c r="C1168" s="20" t="s">
        <v>22</v>
      </c>
      <c r="D1168" s="20">
        <v>4.3999999999999997E-2</v>
      </c>
      <c r="E1168" s="22">
        <v>15000</v>
      </c>
      <c r="F1168" s="25">
        <f>E1168*D1168</f>
        <v>660</v>
      </c>
    </row>
    <row r="1169" spans="2:6" ht="16">
      <c r="B1169" s="26"/>
      <c r="C1169" s="26"/>
      <c r="D1169" s="26"/>
      <c r="E1169" s="26"/>
      <c r="F1169" s="25">
        <f>E1169*D1169</f>
        <v>0</v>
      </c>
    </row>
    <row r="1170" spans="2:6" ht="16">
      <c r="B1170" s="26"/>
      <c r="C1170" s="26"/>
      <c r="D1170" s="26"/>
      <c r="E1170" s="26"/>
      <c r="F1170" s="25">
        <f>E1170*D1170</f>
        <v>0</v>
      </c>
    </row>
    <row r="1171" spans="2:6" ht="16">
      <c r="B1171" s="27" t="s">
        <v>25</v>
      </c>
      <c r="C1171" s="27" t="s">
        <v>26</v>
      </c>
      <c r="D1171" s="28">
        <v>0.32</v>
      </c>
      <c r="E1171" s="29">
        <f>SUM(E1167:E1170)*D1171</f>
        <v>13600</v>
      </c>
      <c r="F1171" s="25">
        <f>SUM(F1167:F1170)*D1171</f>
        <v>598.4</v>
      </c>
    </row>
    <row r="1172" spans="2:6" ht="16">
      <c r="B1172" s="8"/>
      <c r="C1172" s="8"/>
      <c r="D1172" s="8"/>
      <c r="E1172" s="8"/>
    </row>
    <row r="1173" spans="2:6" ht="17" thickBot="1">
      <c r="B1173" s="6" t="s">
        <v>27</v>
      </c>
      <c r="C1173" s="8"/>
      <c r="D1173" s="8"/>
      <c r="E1173" s="8"/>
      <c r="F1173" s="23">
        <f>SUM(F1167:F1172)*D1171</f>
        <v>789.88800000000003</v>
      </c>
    </row>
    <row r="1174" spans="2:6" ht="17" thickBot="1">
      <c r="B1174" s="8"/>
      <c r="C1174" s="8"/>
      <c r="D1174" s="8"/>
      <c r="E1174" s="8"/>
    </row>
    <row r="1175" spans="2:6" ht="15" thickTop="1" thickBot="1">
      <c r="B1175" s="16" t="s">
        <v>28</v>
      </c>
      <c r="C1175" s="17" t="s">
        <v>14</v>
      </c>
      <c r="D1175" s="17" t="s">
        <v>15</v>
      </c>
      <c r="E1175" s="17" t="s">
        <v>16</v>
      </c>
      <c r="F1175" s="18" t="s">
        <v>17</v>
      </c>
    </row>
    <row r="1176" spans="2:6" ht="17" thickTop="1">
      <c r="B1176" s="8"/>
      <c r="C1176" s="8"/>
      <c r="D1176" s="8"/>
      <c r="E1176" s="8"/>
    </row>
    <row r="1177" spans="2:6">
      <c r="B1177" s="20" t="s">
        <v>105</v>
      </c>
      <c r="C1177" s="20" t="s">
        <v>32</v>
      </c>
      <c r="D1177" s="68">
        <v>0.2</v>
      </c>
      <c r="E1177" s="22">
        <v>35000</v>
      </c>
      <c r="F1177" s="25">
        <f>E1177*D1177</f>
        <v>7000</v>
      </c>
    </row>
    <row r="1178" spans="2:6">
      <c r="B1178" s="20" t="s">
        <v>31</v>
      </c>
      <c r="C1178" s="20" t="s">
        <v>32</v>
      </c>
      <c r="D1178" s="68">
        <v>0.01</v>
      </c>
      <c r="E1178" s="22">
        <v>25000</v>
      </c>
      <c r="F1178" s="25">
        <f>E1178*D1178</f>
        <v>250</v>
      </c>
    </row>
    <row r="1179" spans="2:6" ht="16">
      <c r="B1179" s="26"/>
      <c r="C1179" s="26"/>
      <c r="D1179" s="26"/>
      <c r="E1179" s="26"/>
      <c r="F1179" s="25">
        <f>E1179*D1179</f>
        <v>0</v>
      </c>
    </row>
    <row r="1180" spans="2:6" ht="16">
      <c r="B1180" s="26"/>
      <c r="C1180" s="26"/>
      <c r="D1180" s="26"/>
      <c r="E1180" s="26"/>
      <c r="F1180" s="25">
        <f>E1180*D1180</f>
        <v>0</v>
      </c>
    </row>
    <row r="1181" spans="2:6" ht="16">
      <c r="B1181" s="30"/>
      <c r="C1181" s="26"/>
      <c r="D1181" s="26"/>
      <c r="E1181" s="26"/>
      <c r="F1181" s="25">
        <f>E1181*D1181</f>
        <v>0</v>
      </c>
    </row>
    <row r="1182" spans="2:6" ht="16">
      <c r="B1182" s="8"/>
      <c r="C1182" s="8"/>
      <c r="D1182" s="8"/>
      <c r="E1182" s="8"/>
    </row>
    <row r="1183" spans="2:6" ht="14" thickBot="1">
      <c r="B1183" s="19" t="s">
        <v>33</v>
      </c>
      <c r="C1183" s="19"/>
      <c r="D1183" s="19"/>
      <c r="E1183" s="19"/>
      <c r="F1183" s="23">
        <f>SUM(F1177:F1182)</f>
        <v>7250</v>
      </c>
    </row>
    <row r="1184" spans="2:6" ht="16">
      <c r="B1184" s="8"/>
      <c r="C1184" s="8"/>
      <c r="D1184" s="8"/>
      <c r="E1184" s="8"/>
    </row>
    <row r="1185" spans="2:6" ht="17" thickBot="1">
      <c r="B1185" s="8"/>
      <c r="C1185" s="8"/>
      <c r="D1185" s="8"/>
      <c r="E1185" s="8"/>
    </row>
    <row r="1186" spans="2:6" ht="17" thickBot="1">
      <c r="B1186" s="31" t="s">
        <v>34</v>
      </c>
      <c r="C1186" s="13"/>
      <c r="D1186" s="13"/>
      <c r="E1186" s="13"/>
      <c r="F1186" s="32">
        <f>F1163+F1173+F1183</f>
        <v>26639.887999999999</v>
      </c>
    </row>
    <row r="1187" spans="2:6" ht="17" thickBot="1">
      <c r="B1187" s="31" t="s">
        <v>35</v>
      </c>
      <c r="C1187" s="13"/>
      <c r="D1187" s="13"/>
      <c r="E1187" s="33">
        <v>0.1</v>
      </c>
      <c r="F1187" s="32">
        <f>F1186*E1187</f>
        <v>2663.9888000000001</v>
      </c>
    </row>
    <row r="1188" spans="2:6" ht="17" thickBot="1">
      <c r="B1188" s="31" t="s">
        <v>36</v>
      </c>
      <c r="C1188" s="13"/>
      <c r="D1188" s="13"/>
      <c r="E1188" s="33">
        <f>E1131</f>
        <v>0.1</v>
      </c>
      <c r="F1188" s="32">
        <f>F1186*E1188</f>
        <v>2663.9888000000001</v>
      </c>
    </row>
    <row r="1189" spans="2:6" ht="17" thickBot="1">
      <c r="B1189" s="34" t="s">
        <v>37</v>
      </c>
      <c r="C1189" s="35"/>
      <c r="D1189" s="35"/>
      <c r="E1189" s="35"/>
      <c r="F1189" s="32">
        <f>SUM(F1186:F1188)</f>
        <v>31967.865599999997</v>
      </c>
    </row>
    <row r="1190" spans="2:6" ht="17" thickBot="1">
      <c r="B1190" s="36"/>
      <c r="C1190" s="8"/>
      <c r="D1190" s="8"/>
      <c r="E1190" s="8"/>
    </row>
    <row r="1191" spans="2:6" ht="18" thickTop="1" thickBot="1">
      <c r="B1191" s="37" t="s">
        <v>38</v>
      </c>
      <c r="C1191" s="8"/>
      <c r="D1191" s="8"/>
      <c r="E1191" s="8"/>
    </row>
    <row r="1192" spans="2:6" ht="18" thickTop="1" thickBot="1">
      <c r="B1192" s="8"/>
      <c r="C1192" s="8"/>
      <c r="D1192" s="8"/>
      <c r="E1192" s="8"/>
    </row>
    <row r="1193" spans="2:6" ht="17" thickTop="1">
      <c r="B1193" s="38"/>
      <c r="C1193" s="13"/>
      <c r="D1193" s="13"/>
      <c r="E1193" s="39"/>
      <c r="F1193" s="40"/>
    </row>
    <row r="1194" spans="2:6" ht="16">
      <c r="B1194" s="38"/>
      <c r="C1194" s="13"/>
      <c r="D1194" s="13"/>
      <c r="E1194" s="41"/>
      <c r="F1194" s="42"/>
    </row>
    <row r="1195" spans="2:6" ht="16">
      <c r="B1195" s="38"/>
      <c r="C1195" s="13"/>
      <c r="D1195" s="13"/>
      <c r="E1195" s="41"/>
      <c r="F1195" s="42"/>
    </row>
    <row r="1196" spans="2:6" ht="17" thickBot="1">
      <c r="B1196" s="54"/>
      <c r="C1196" s="35"/>
      <c r="D1196" s="35"/>
      <c r="E1196" s="44"/>
      <c r="F1196" s="45"/>
    </row>
    <row r="1197" spans="2:6" ht="17" thickTop="1">
      <c r="B1197" s="46"/>
      <c r="C1197" s="46"/>
      <c r="D1197" s="46"/>
      <c r="E1197" s="47"/>
      <c r="F1197" s="47"/>
    </row>
    <row r="1198" spans="2:6" ht="14" thickBot="1">
      <c r="B1198" s="1" t="s">
        <v>0</v>
      </c>
      <c r="C1198" s="1"/>
    </row>
    <row r="1199" spans="2:6" ht="17" thickBot="1">
      <c r="B1199" s="1" t="s">
        <v>1</v>
      </c>
      <c r="C1199" s="1"/>
      <c r="E1199" s="4" t="s">
        <v>2</v>
      </c>
      <c r="F1199" s="5"/>
    </row>
    <row r="1200" spans="2:6">
      <c r="B1200" s="6"/>
    </row>
    <row r="1201" spans="2:6" ht="16">
      <c r="B1201" s="7" t="s">
        <v>3</v>
      </c>
      <c r="C1201" s="7"/>
      <c r="D1201" s="7"/>
      <c r="E1201" s="7"/>
      <c r="F1201" s="7"/>
    </row>
    <row r="1202" spans="2:6" ht="16">
      <c r="B1202" s="8"/>
      <c r="C1202" s="8"/>
      <c r="D1202" s="8"/>
      <c r="E1202" s="8"/>
    </row>
    <row r="1203" spans="2:6" ht="20" customHeight="1">
      <c r="B1203" s="9" t="s">
        <v>4</v>
      </c>
      <c r="C1203" s="10" t="str">
        <f>C1146</f>
        <v>MEJORAMIENTO ESPACIO PUBLICO JJVV LUCILA GODOY ALCAYAGA</v>
      </c>
      <c r="D1203" s="10"/>
      <c r="E1203" s="10"/>
      <c r="F1203" s="11"/>
    </row>
    <row r="1204" spans="2:6" ht="16">
      <c r="B1204" s="12"/>
      <c r="C1204" s="8"/>
      <c r="D1204" s="8"/>
      <c r="E1204" s="8"/>
    </row>
    <row r="1205" spans="2:6" ht="16">
      <c r="B1205" s="9" t="s">
        <v>5</v>
      </c>
      <c r="C1205" s="13" t="s">
        <v>6</v>
      </c>
      <c r="D1205" s="13"/>
      <c r="E1205" s="13"/>
      <c r="F1205" s="14"/>
    </row>
    <row r="1206" spans="2:6" ht="16">
      <c r="B1206" s="9"/>
      <c r="C1206" s="13"/>
      <c r="D1206" s="13"/>
      <c r="E1206" s="13"/>
      <c r="F1206" s="14"/>
    </row>
    <row r="1207" spans="2:6" ht="16">
      <c r="B1207" s="9" t="s">
        <v>7</v>
      </c>
      <c r="C1207" s="13" t="str">
        <f>[1]LGA!A37</f>
        <v>2.3.1</v>
      </c>
      <c r="D1207" s="13"/>
      <c r="E1207" s="13"/>
      <c r="F1207" s="14"/>
    </row>
    <row r="1208" spans="2:6" ht="16">
      <c r="B1208" s="9" t="s">
        <v>8</v>
      </c>
      <c r="C1208" s="13" t="s">
        <v>89</v>
      </c>
      <c r="D1208" s="13"/>
      <c r="E1208" s="13"/>
      <c r="F1208" s="14"/>
    </row>
    <row r="1209" spans="2:6" ht="16">
      <c r="B1209" s="9" t="s">
        <v>10</v>
      </c>
      <c r="C1209" s="13" t="s">
        <v>81</v>
      </c>
      <c r="D1209" s="13"/>
      <c r="E1209" s="13"/>
      <c r="F1209" s="14"/>
    </row>
    <row r="1210" spans="2:6" ht="16">
      <c r="B1210" s="9" t="s">
        <v>12</v>
      </c>
      <c r="C1210" s="15">
        <f>C1153</f>
        <v>46024</v>
      </c>
      <c r="D1210" s="13"/>
      <c r="E1210" s="13"/>
      <c r="F1210" s="14"/>
    </row>
    <row r="1211" spans="2:6" ht="17" thickBot="1">
      <c r="B1211" s="8"/>
      <c r="C1211" s="8"/>
      <c r="D1211" s="8"/>
      <c r="E1211" s="8"/>
    </row>
    <row r="1212" spans="2:6" ht="15" thickTop="1" thickBot="1">
      <c r="B1212" s="16" t="s">
        <v>13</v>
      </c>
      <c r="C1212" s="17" t="s">
        <v>14</v>
      </c>
      <c r="D1212" s="17" t="s">
        <v>15</v>
      </c>
      <c r="E1212" s="17" t="s">
        <v>16</v>
      </c>
      <c r="F1212" s="18" t="s">
        <v>17</v>
      </c>
    </row>
    <row r="1213" spans="2:6" ht="14" thickTop="1">
      <c r="B1213" s="19"/>
      <c r="C1213" s="19"/>
      <c r="D1213" s="19"/>
      <c r="E1213" s="19"/>
      <c r="F1213" s="19"/>
    </row>
    <row r="1214" spans="2:6">
      <c r="B1214" s="20"/>
      <c r="C1214" s="21"/>
      <c r="D1214" s="21"/>
      <c r="E1214" s="22"/>
      <c r="F1214" s="22">
        <f t="shared" ref="F1214:F1219" si="19">E1214*D1214</f>
        <v>0</v>
      </c>
    </row>
    <row r="1215" spans="2:6">
      <c r="B1215" s="20"/>
      <c r="C1215" s="21"/>
      <c r="D1215" s="21"/>
      <c r="E1215" s="22"/>
      <c r="F1215" s="22">
        <f t="shared" si="19"/>
        <v>0</v>
      </c>
    </row>
    <row r="1216" spans="2:6">
      <c r="B1216" s="20"/>
      <c r="C1216" s="21"/>
      <c r="D1216" s="21"/>
      <c r="E1216" s="22"/>
      <c r="F1216" s="22">
        <f t="shared" si="19"/>
        <v>0</v>
      </c>
    </row>
    <row r="1217" spans="2:6">
      <c r="B1217" s="20"/>
      <c r="C1217" s="21"/>
      <c r="D1217" s="21"/>
      <c r="E1217" s="22"/>
      <c r="F1217" s="22">
        <f t="shared" si="19"/>
        <v>0</v>
      </c>
    </row>
    <row r="1218" spans="2:6">
      <c r="B1218" s="20"/>
      <c r="C1218" s="21"/>
      <c r="D1218" s="21"/>
      <c r="E1218" s="22"/>
      <c r="F1218" s="22">
        <f t="shared" si="19"/>
        <v>0</v>
      </c>
    </row>
    <row r="1219" spans="2:6">
      <c r="B1219" s="20"/>
      <c r="C1219" s="21"/>
      <c r="D1219" s="21"/>
      <c r="E1219" s="22"/>
      <c r="F1219" s="22">
        <f t="shared" si="19"/>
        <v>0</v>
      </c>
    </row>
    <row r="1220" spans="2:6" ht="17" thickBot="1">
      <c r="B1220" s="6" t="s">
        <v>19</v>
      </c>
      <c r="C1220" s="8"/>
      <c r="D1220" s="8"/>
      <c r="E1220" s="8"/>
      <c r="F1220" s="23">
        <f>SUM(F1214:F1219)</f>
        <v>0</v>
      </c>
    </row>
    <row r="1221" spans="2:6" ht="17" thickBot="1">
      <c r="B1221" s="8"/>
      <c r="C1221" s="8"/>
      <c r="D1221" s="8"/>
      <c r="E1221" s="8"/>
    </row>
    <row r="1222" spans="2:6" ht="15" thickTop="1" thickBot="1">
      <c r="B1222" s="16" t="s">
        <v>20</v>
      </c>
      <c r="C1222" s="17" t="s">
        <v>14</v>
      </c>
      <c r="D1222" s="17" t="s">
        <v>15</v>
      </c>
      <c r="E1222" s="17" t="s">
        <v>16</v>
      </c>
      <c r="F1222" s="18" t="s">
        <v>17</v>
      </c>
    </row>
    <row r="1223" spans="2:6" ht="17" thickTop="1">
      <c r="B1223" s="8"/>
      <c r="C1223" s="8"/>
      <c r="D1223" s="8"/>
      <c r="E1223" s="8"/>
    </row>
    <row r="1224" spans="2:6">
      <c r="B1224" s="24" t="s">
        <v>21</v>
      </c>
      <c r="C1224" s="20" t="s">
        <v>22</v>
      </c>
      <c r="D1224" s="20">
        <v>4.3999999999999997E-2</v>
      </c>
      <c r="E1224" s="22">
        <v>27500</v>
      </c>
      <c r="F1224" s="25">
        <f>E1224*D1224</f>
        <v>1210</v>
      </c>
    </row>
    <row r="1225" spans="2:6">
      <c r="B1225" s="20" t="s">
        <v>23</v>
      </c>
      <c r="C1225" s="20" t="s">
        <v>22</v>
      </c>
      <c r="D1225" s="20">
        <v>4.3999999999999997E-2</v>
      </c>
      <c r="E1225" s="22">
        <v>15000</v>
      </c>
      <c r="F1225" s="25">
        <f>E1225*D1225</f>
        <v>660</v>
      </c>
    </row>
    <row r="1226" spans="2:6" ht="16">
      <c r="B1226" s="26"/>
      <c r="C1226" s="26"/>
      <c r="D1226" s="26"/>
      <c r="E1226" s="26"/>
      <c r="F1226" s="25">
        <f>E1226*D1226</f>
        <v>0</v>
      </c>
    </row>
    <row r="1227" spans="2:6" ht="16">
      <c r="B1227" s="26"/>
      <c r="C1227" s="26"/>
      <c r="D1227" s="26"/>
      <c r="E1227" s="26"/>
      <c r="F1227" s="25">
        <f>E1227*D1227</f>
        <v>0</v>
      </c>
    </row>
    <row r="1228" spans="2:6" ht="16">
      <c r="B1228" s="27" t="s">
        <v>25</v>
      </c>
      <c r="C1228" s="27" t="s">
        <v>26</v>
      </c>
      <c r="D1228" s="28">
        <v>0.32</v>
      </c>
      <c r="E1228" s="29">
        <f>SUM(E1224:E1227)*D1228</f>
        <v>13600</v>
      </c>
      <c r="F1228" s="25">
        <f>E1228*D1228</f>
        <v>4352</v>
      </c>
    </row>
    <row r="1229" spans="2:6" ht="16">
      <c r="B1229" s="8"/>
      <c r="C1229" s="8"/>
      <c r="D1229" s="8"/>
      <c r="E1229" s="8"/>
    </row>
    <row r="1230" spans="2:6" ht="17" thickBot="1">
      <c r="B1230" s="6" t="s">
        <v>27</v>
      </c>
      <c r="C1230" s="8"/>
      <c r="D1230" s="8"/>
      <c r="E1230" s="8"/>
      <c r="F1230" s="23">
        <f>SUM(F1224:F1229)</f>
        <v>6222</v>
      </c>
    </row>
    <row r="1231" spans="2:6" ht="17" thickBot="1">
      <c r="B1231" s="8"/>
      <c r="C1231" s="8"/>
      <c r="D1231" s="8"/>
      <c r="E1231" s="8"/>
    </row>
    <row r="1232" spans="2:6" ht="15" thickTop="1" thickBot="1">
      <c r="B1232" s="16" t="s">
        <v>28</v>
      </c>
      <c r="C1232" s="17" t="s">
        <v>14</v>
      </c>
      <c r="D1232" s="17" t="s">
        <v>15</v>
      </c>
      <c r="E1232" s="17" t="s">
        <v>16</v>
      </c>
      <c r="F1232" s="18" t="s">
        <v>17</v>
      </c>
    </row>
    <row r="1233" spans="2:6" ht="17" thickTop="1">
      <c r="B1233" s="8"/>
      <c r="C1233" s="8"/>
      <c r="D1233" s="8"/>
      <c r="E1233" s="8"/>
    </row>
    <row r="1234" spans="2:6">
      <c r="B1234" s="20" t="s">
        <v>64</v>
      </c>
      <c r="C1234" s="20" t="s">
        <v>30</v>
      </c>
      <c r="D1234" s="20">
        <v>0.1</v>
      </c>
      <c r="E1234" s="22">
        <v>45000</v>
      </c>
      <c r="F1234" s="25">
        <f>E1234*D1234</f>
        <v>4500</v>
      </c>
    </row>
    <row r="1235" spans="2:6">
      <c r="B1235" s="20" t="s">
        <v>90</v>
      </c>
      <c r="C1235" s="20" t="s">
        <v>30</v>
      </c>
      <c r="D1235" s="20">
        <v>0.1</v>
      </c>
      <c r="E1235" s="22">
        <v>65000</v>
      </c>
      <c r="F1235" s="25">
        <f>E1235*D1235</f>
        <v>6500</v>
      </c>
    </row>
    <row r="1236" spans="2:6" ht="16">
      <c r="B1236" s="26"/>
      <c r="C1236" s="26"/>
      <c r="D1236" s="26"/>
      <c r="E1236" s="26"/>
      <c r="F1236" s="25">
        <f>E1236*D1236</f>
        <v>0</v>
      </c>
    </row>
    <row r="1237" spans="2:6" ht="16">
      <c r="B1237" s="26"/>
      <c r="C1237" s="26"/>
      <c r="D1237" s="26"/>
      <c r="E1237" s="26"/>
      <c r="F1237" s="25">
        <f>E1237*D1237</f>
        <v>0</v>
      </c>
    </row>
    <row r="1238" spans="2:6" ht="16">
      <c r="B1238" s="30"/>
      <c r="C1238" s="26"/>
      <c r="D1238" s="26"/>
      <c r="E1238" s="26"/>
      <c r="F1238" s="25">
        <f>E1238*D1238</f>
        <v>0</v>
      </c>
    </row>
    <row r="1239" spans="2:6" ht="16">
      <c r="B1239" s="8"/>
      <c r="C1239" s="8"/>
      <c r="D1239" s="8"/>
      <c r="E1239" s="8"/>
    </row>
    <row r="1240" spans="2:6" ht="14" thickBot="1">
      <c r="B1240" s="19" t="s">
        <v>33</v>
      </c>
      <c r="C1240" s="19"/>
      <c r="D1240" s="19"/>
      <c r="E1240" s="19"/>
      <c r="F1240" s="23">
        <f>SUM(F1234:F1239)</f>
        <v>11000</v>
      </c>
    </row>
    <row r="1241" spans="2:6" ht="16">
      <c r="B1241" s="8"/>
      <c r="C1241" s="8"/>
      <c r="D1241" s="8"/>
      <c r="E1241" s="8"/>
    </row>
    <row r="1242" spans="2:6" ht="17" thickBot="1">
      <c r="B1242" s="8"/>
      <c r="C1242" s="8"/>
      <c r="D1242" s="8"/>
      <c r="E1242" s="8"/>
    </row>
    <row r="1243" spans="2:6" ht="17" thickBot="1">
      <c r="B1243" s="31" t="s">
        <v>34</v>
      </c>
      <c r="C1243" s="13"/>
      <c r="D1243" s="13"/>
      <c r="E1243" s="13"/>
      <c r="F1243" s="32">
        <f>F1220+F1230+F1240</f>
        <v>17222</v>
      </c>
    </row>
    <row r="1244" spans="2:6" ht="17" thickBot="1">
      <c r="B1244" s="31" t="s">
        <v>35</v>
      </c>
      <c r="C1244" s="13"/>
      <c r="D1244" s="13"/>
      <c r="E1244" s="33">
        <v>0.1</v>
      </c>
      <c r="F1244" s="32">
        <f>F1243*E1244</f>
        <v>1722.2</v>
      </c>
    </row>
    <row r="1245" spans="2:6" ht="17" thickBot="1">
      <c r="B1245" s="31" t="s">
        <v>36</v>
      </c>
      <c r="C1245" s="13"/>
      <c r="D1245" s="13"/>
      <c r="E1245" s="33">
        <v>0.1</v>
      </c>
      <c r="F1245" s="32">
        <f>F1243*E1245</f>
        <v>1722.2</v>
      </c>
    </row>
    <row r="1246" spans="2:6" ht="17" thickBot="1">
      <c r="B1246" s="34" t="s">
        <v>37</v>
      </c>
      <c r="C1246" s="35"/>
      <c r="D1246" s="35"/>
      <c r="E1246" s="35"/>
      <c r="F1246" s="32">
        <f>SUM(F1243:F1245)</f>
        <v>20666.400000000001</v>
      </c>
    </row>
    <row r="1247" spans="2:6" ht="17" thickBot="1">
      <c r="B1247" s="36"/>
      <c r="C1247" s="8"/>
      <c r="D1247" s="8"/>
      <c r="E1247" s="8"/>
    </row>
    <row r="1248" spans="2:6" ht="18" thickTop="1" thickBot="1">
      <c r="B1248" s="37" t="s">
        <v>38</v>
      </c>
      <c r="C1248" s="8"/>
      <c r="D1248" s="8"/>
      <c r="E1248" s="8"/>
    </row>
    <row r="1249" spans="2:6" ht="18" thickTop="1" thickBot="1">
      <c r="B1249" s="8"/>
      <c r="C1249" s="8"/>
      <c r="D1249" s="8"/>
      <c r="E1249" s="8"/>
    </row>
    <row r="1250" spans="2:6" ht="17" thickTop="1">
      <c r="B1250" s="38"/>
      <c r="C1250" s="13"/>
      <c r="D1250" s="13"/>
      <c r="E1250" s="39"/>
      <c r="F1250" s="40"/>
    </row>
    <row r="1251" spans="2:6" ht="16">
      <c r="B1251" s="38"/>
      <c r="C1251" s="13"/>
      <c r="D1251" s="13"/>
      <c r="E1251" s="41"/>
      <c r="F1251" s="42"/>
    </row>
    <row r="1252" spans="2:6" ht="16">
      <c r="B1252" s="38"/>
      <c r="C1252" s="13"/>
      <c r="D1252" s="13"/>
      <c r="E1252" s="41"/>
      <c r="F1252" s="42"/>
    </row>
    <row r="1253" spans="2:6" ht="17" thickBot="1">
      <c r="B1253" s="54"/>
      <c r="C1253" s="35"/>
      <c r="D1253" s="35"/>
      <c r="E1253" s="44"/>
      <c r="F1253" s="45"/>
    </row>
    <row r="1254" spans="2:6" ht="17" thickTop="1">
      <c r="B1254" s="46"/>
      <c r="C1254" s="46"/>
      <c r="D1254" s="46"/>
      <c r="E1254" s="47"/>
      <c r="F1254" s="47"/>
    </row>
    <row r="1255" spans="2:6" ht="14" thickBot="1">
      <c r="B1255" s="1" t="s">
        <v>0</v>
      </c>
      <c r="C1255" s="1"/>
    </row>
    <row r="1256" spans="2:6" ht="17" thickBot="1">
      <c r="B1256" s="1" t="s">
        <v>1</v>
      </c>
      <c r="C1256" s="1"/>
      <c r="E1256" s="4" t="s">
        <v>2</v>
      </c>
      <c r="F1256" s="5"/>
    </row>
    <row r="1257" spans="2:6">
      <c r="B1257" s="6"/>
    </row>
    <row r="1258" spans="2:6" ht="16">
      <c r="B1258" s="7" t="s">
        <v>3</v>
      </c>
      <c r="C1258" s="7"/>
      <c r="D1258" s="7"/>
      <c r="E1258" s="7"/>
      <c r="F1258" s="7"/>
    </row>
    <row r="1259" spans="2:6" ht="16">
      <c r="B1259" s="8"/>
      <c r="C1259" s="8"/>
      <c r="D1259" s="8"/>
      <c r="E1259" s="8"/>
    </row>
    <row r="1260" spans="2:6" ht="20" customHeight="1">
      <c r="B1260" s="9" t="s">
        <v>4</v>
      </c>
      <c r="C1260" s="10" t="str">
        <f>C1203</f>
        <v>MEJORAMIENTO ESPACIO PUBLICO JJVV LUCILA GODOY ALCAYAGA</v>
      </c>
      <c r="D1260" s="10"/>
      <c r="E1260" s="10"/>
      <c r="F1260" s="11"/>
    </row>
    <row r="1261" spans="2:6" ht="16">
      <c r="B1261" s="12"/>
      <c r="C1261" s="8"/>
      <c r="D1261" s="8"/>
      <c r="E1261" s="8"/>
    </row>
    <row r="1262" spans="2:6" ht="16">
      <c r="B1262" s="9" t="s">
        <v>5</v>
      </c>
      <c r="C1262" s="13" t="s">
        <v>6</v>
      </c>
      <c r="D1262" s="13"/>
      <c r="E1262" s="13"/>
      <c r="F1262" s="14"/>
    </row>
    <row r="1263" spans="2:6" ht="16">
      <c r="B1263" s="9"/>
      <c r="C1263" s="13"/>
      <c r="D1263" s="13"/>
      <c r="E1263" s="13"/>
      <c r="F1263" s="14"/>
    </row>
    <row r="1264" spans="2:6" ht="16">
      <c r="B1264" s="9" t="s">
        <v>7</v>
      </c>
      <c r="C1264" s="13" t="str">
        <f>[1]LGA!A38</f>
        <v>2.3.2</v>
      </c>
      <c r="D1264" s="13"/>
      <c r="E1264" s="13"/>
      <c r="F1264" s="14"/>
    </row>
    <row r="1265" spans="2:6" ht="16">
      <c r="B1265" s="9" t="s">
        <v>8</v>
      </c>
      <c r="C1265" s="13" t="s">
        <v>91</v>
      </c>
      <c r="D1265" s="13"/>
      <c r="E1265" s="13"/>
      <c r="F1265" s="14"/>
    </row>
    <row r="1266" spans="2:6" ht="16">
      <c r="B1266" s="9" t="s">
        <v>10</v>
      </c>
      <c r="C1266" s="13" t="s">
        <v>81</v>
      </c>
      <c r="D1266" s="13"/>
      <c r="E1266" s="13"/>
      <c r="F1266" s="14"/>
    </row>
    <row r="1267" spans="2:6" ht="16">
      <c r="B1267" s="9" t="s">
        <v>12</v>
      </c>
      <c r="C1267" s="15">
        <f>C1210</f>
        <v>46024</v>
      </c>
      <c r="D1267" s="13"/>
      <c r="E1267" s="13"/>
      <c r="F1267" s="14"/>
    </row>
    <row r="1268" spans="2:6" ht="17" thickBot="1">
      <c r="B1268" s="8"/>
      <c r="C1268" s="8"/>
      <c r="D1268" s="8"/>
      <c r="E1268" s="8"/>
    </row>
    <row r="1269" spans="2:6" ht="15" thickTop="1" thickBot="1">
      <c r="B1269" s="16" t="s">
        <v>13</v>
      </c>
      <c r="C1269" s="17" t="s">
        <v>14</v>
      </c>
      <c r="D1269" s="17" t="s">
        <v>15</v>
      </c>
      <c r="E1269" s="17" t="s">
        <v>16</v>
      </c>
      <c r="F1269" s="18" t="s">
        <v>17</v>
      </c>
    </row>
    <row r="1270" spans="2:6" ht="14" thickTop="1">
      <c r="B1270" s="19"/>
      <c r="C1270" s="19"/>
      <c r="D1270" s="19"/>
      <c r="E1270" s="19"/>
      <c r="F1270" s="19"/>
    </row>
    <row r="1271" spans="2:6">
      <c r="B1271" s="20" t="s">
        <v>92</v>
      </c>
      <c r="C1271" s="21" t="s">
        <v>81</v>
      </c>
      <c r="D1271" s="21">
        <v>1</v>
      </c>
      <c r="E1271" s="22">
        <v>15000</v>
      </c>
      <c r="F1271" s="22">
        <f t="shared" ref="F1271:F1276" si="20">E1271*D1271</f>
        <v>15000</v>
      </c>
    </row>
    <row r="1272" spans="2:6">
      <c r="B1272" s="20"/>
      <c r="C1272" s="21"/>
      <c r="D1272" s="21"/>
      <c r="E1272" s="22"/>
      <c r="F1272" s="22">
        <f t="shared" si="20"/>
        <v>0</v>
      </c>
    </row>
    <row r="1273" spans="2:6">
      <c r="B1273" s="20"/>
      <c r="C1273" s="21"/>
      <c r="D1273" s="21"/>
      <c r="E1273" s="22"/>
      <c r="F1273" s="22">
        <f t="shared" si="20"/>
        <v>0</v>
      </c>
    </row>
    <row r="1274" spans="2:6">
      <c r="B1274" s="20"/>
      <c r="C1274" s="21"/>
      <c r="D1274" s="21"/>
      <c r="E1274" s="22"/>
      <c r="F1274" s="22">
        <f t="shared" si="20"/>
        <v>0</v>
      </c>
    </row>
    <row r="1275" spans="2:6">
      <c r="B1275" s="20"/>
      <c r="C1275" s="21"/>
      <c r="D1275" s="21"/>
      <c r="E1275" s="22"/>
      <c r="F1275" s="22">
        <f t="shared" si="20"/>
        <v>0</v>
      </c>
    </row>
    <row r="1276" spans="2:6">
      <c r="B1276" s="20"/>
      <c r="C1276" s="21"/>
      <c r="D1276" s="21"/>
      <c r="E1276" s="22"/>
      <c r="F1276" s="22">
        <f t="shared" si="20"/>
        <v>0</v>
      </c>
    </row>
    <row r="1277" spans="2:6" ht="17" thickBot="1">
      <c r="B1277" s="6" t="s">
        <v>19</v>
      </c>
      <c r="C1277" s="8"/>
      <c r="D1277" s="8"/>
      <c r="E1277" s="8"/>
      <c r="F1277" s="23">
        <f>SUM(F1271:F1276)</f>
        <v>15000</v>
      </c>
    </row>
    <row r="1278" spans="2:6" ht="17" thickBot="1">
      <c r="B1278" s="8"/>
      <c r="C1278" s="8"/>
      <c r="D1278" s="8"/>
      <c r="E1278" s="8"/>
    </row>
    <row r="1279" spans="2:6" ht="15" thickTop="1" thickBot="1">
      <c r="B1279" s="16" t="s">
        <v>20</v>
      </c>
      <c r="C1279" s="17" t="s">
        <v>14</v>
      </c>
      <c r="D1279" s="17" t="s">
        <v>15</v>
      </c>
      <c r="E1279" s="17" t="s">
        <v>16</v>
      </c>
      <c r="F1279" s="18" t="s">
        <v>17</v>
      </c>
    </row>
    <row r="1280" spans="2:6" ht="17" thickTop="1">
      <c r="B1280" s="8"/>
      <c r="C1280" s="8"/>
      <c r="D1280" s="8"/>
      <c r="E1280" s="8"/>
    </row>
    <row r="1281" spans="2:6">
      <c r="B1281" s="24" t="s">
        <v>21</v>
      </c>
      <c r="C1281" s="20" t="s">
        <v>22</v>
      </c>
      <c r="D1281" s="20">
        <v>4.3999999999999997E-2</v>
      </c>
      <c r="E1281" s="22">
        <v>27500</v>
      </c>
      <c r="F1281" s="25">
        <f>E1281*D1281</f>
        <v>1210</v>
      </c>
    </row>
    <row r="1282" spans="2:6">
      <c r="B1282" s="20" t="s">
        <v>23</v>
      </c>
      <c r="C1282" s="20" t="s">
        <v>22</v>
      </c>
      <c r="D1282" s="20">
        <v>4.3999999999999997E-2</v>
      </c>
      <c r="E1282" s="22">
        <v>15000</v>
      </c>
      <c r="F1282" s="25">
        <f>E1282*D1282</f>
        <v>660</v>
      </c>
    </row>
    <row r="1283" spans="2:6" ht="16">
      <c r="B1283" s="26"/>
      <c r="C1283" s="26"/>
      <c r="D1283" s="26"/>
      <c r="E1283" s="26"/>
      <c r="F1283" s="25">
        <f>E1283*D1283</f>
        <v>0</v>
      </c>
    </row>
    <row r="1284" spans="2:6" ht="16">
      <c r="B1284" s="26"/>
      <c r="C1284" s="26"/>
      <c r="D1284" s="26"/>
      <c r="E1284" s="26"/>
      <c r="F1284" s="25">
        <f>E1284*D1284</f>
        <v>0</v>
      </c>
    </row>
    <row r="1285" spans="2:6" ht="16">
      <c r="B1285" s="27" t="s">
        <v>25</v>
      </c>
      <c r="C1285" s="27" t="s">
        <v>26</v>
      </c>
      <c r="D1285" s="28">
        <v>0.32</v>
      </c>
      <c r="E1285" s="29">
        <f>SUM(E1281:E1284)*D1285</f>
        <v>13600</v>
      </c>
      <c r="F1285" s="25">
        <f>E1285*D1285</f>
        <v>4352</v>
      </c>
    </row>
    <row r="1286" spans="2:6" ht="16">
      <c r="B1286" s="8"/>
      <c r="C1286" s="8"/>
      <c r="D1286" s="8"/>
      <c r="E1286" s="8"/>
    </row>
    <row r="1287" spans="2:6" ht="17" thickBot="1">
      <c r="B1287" s="6" t="s">
        <v>27</v>
      </c>
      <c r="C1287" s="8"/>
      <c r="D1287" s="8"/>
      <c r="E1287" s="8"/>
      <c r="F1287" s="23">
        <f>SUM(F1281:F1285)*D1285</f>
        <v>1991.04</v>
      </c>
    </row>
    <row r="1288" spans="2:6" ht="17" thickBot="1">
      <c r="B1288" s="8"/>
      <c r="C1288" s="8"/>
      <c r="D1288" s="8"/>
      <c r="E1288" s="8"/>
    </row>
    <row r="1289" spans="2:6" ht="15" thickTop="1" thickBot="1">
      <c r="B1289" s="16" t="s">
        <v>28</v>
      </c>
      <c r="C1289" s="17" t="s">
        <v>14</v>
      </c>
      <c r="D1289" s="17" t="s">
        <v>15</v>
      </c>
      <c r="E1289" s="17" t="s">
        <v>16</v>
      </c>
      <c r="F1289" s="18" t="s">
        <v>17</v>
      </c>
    </row>
    <row r="1290" spans="2:6" ht="17" thickTop="1">
      <c r="B1290" s="8"/>
      <c r="C1290" s="8"/>
      <c r="D1290" s="8"/>
      <c r="E1290" s="8"/>
    </row>
    <row r="1291" spans="2:6">
      <c r="B1291" s="20" t="s">
        <v>93</v>
      </c>
      <c r="C1291" s="20" t="s">
        <v>32</v>
      </c>
      <c r="D1291" s="20">
        <v>4.3999999999999997E-2</v>
      </c>
      <c r="E1291" s="22">
        <v>25000</v>
      </c>
      <c r="F1291" s="25">
        <f>E1291*D1291</f>
        <v>1100</v>
      </c>
    </row>
    <row r="1292" spans="2:6">
      <c r="B1292" s="20"/>
      <c r="C1292" s="20"/>
      <c r="D1292" s="55"/>
      <c r="E1292" s="22"/>
      <c r="F1292" s="25">
        <f>E1292*D1292</f>
        <v>0</v>
      </c>
    </row>
    <row r="1293" spans="2:6" ht="16">
      <c r="B1293" s="26"/>
      <c r="C1293" s="26"/>
      <c r="D1293" s="26"/>
      <c r="E1293" s="26"/>
      <c r="F1293" s="25">
        <f>E1293*D1293</f>
        <v>0</v>
      </c>
    </row>
    <row r="1294" spans="2:6" ht="16">
      <c r="B1294" s="26"/>
      <c r="C1294" s="26"/>
      <c r="D1294" s="26"/>
      <c r="E1294" s="26"/>
      <c r="F1294" s="25">
        <f>E1294*D1294</f>
        <v>0</v>
      </c>
    </row>
    <row r="1295" spans="2:6" ht="16">
      <c r="B1295" s="30"/>
      <c r="C1295" s="26"/>
      <c r="D1295" s="26"/>
      <c r="E1295" s="26"/>
      <c r="F1295" s="25">
        <f>E1295*D1295</f>
        <v>0</v>
      </c>
    </row>
    <row r="1296" spans="2:6" ht="16">
      <c r="B1296" s="8"/>
      <c r="C1296" s="8"/>
      <c r="D1296" s="8"/>
      <c r="E1296" s="8"/>
    </row>
    <row r="1297" spans="2:6" ht="14" thickBot="1">
      <c r="B1297" s="19" t="s">
        <v>33</v>
      </c>
      <c r="C1297" s="19"/>
      <c r="D1297" s="19"/>
      <c r="E1297" s="19"/>
      <c r="F1297" s="23">
        <f>SUM(F1291:F1296)</f>
        <v>1100</v>
      </c>
    </row>
    <row r="1298" spans="2:6" ht="16">
      <c r="B1298" s="8"/>
      <c r="C1298" s="8"/>
      <c r="D1298" s="8"/>
      <c r="E1298" s="8"/>
    </row>
    <row r="1299" spans="2:6" ht="17" thickBot="1">
      <c r="B1299" s="8"/>
      <c r="C1299" s="8"/>
      <c r="D1299" s="8"/>
      <c r="E1299" s="8"/>
    </row>
    <row r="1300" spans="2:6" ht="17" thickBot="1">
      <c r="B1300" s="31" t="s">
        <v>34</v>
      </c>
      <c r="C1300" s="13"/>
      <c r="D1300" s="13"/>
      <c r="E1300" s="13"/>
      <c r="F1300" s="32">
        <f>F1277+F1287+F1297</f>
        <v>18091.04</v>
      </c>
    </row>
    <row r="1301" spans="2:6" ht="17" thickBot="1">
      <c r="B1301" s="31" t="s">
        <v>35</v>
      </c>
      <c r="C1301" s="13"/>
      <c r="D1301" s="13"/>
      <c r="E1301" s="33">
        <f>E1244</f>
        <v>0.1</v>
      </c>
      <c r="F1301" s="32">
        <f>F1300*E1301</f>
        <v>1809.1040000000003</v>
      </c>
    </row>
    <row r="1302" spans="2:6" ht="17" thickBot="1">
      <c r="B1302" s="31" t="s">
        <v>36</v>
      </c>
      <c r="C1302" s="13"/>
      <c r="D1302" s="13"/>
      <c r="E1302" s="33">
        <f>E1245</f>
        <v>0.1</v>
      </c>
      <c r="F1302" s="32">
        <f>F1300*E1302</f>
        <v>1809.1040000000003</v>
      </c>
    </row>
    <row r="1303" spans="2:6" ht="17" thickBot="1">
      <c r="B1303" s="34" t="s">
        <v>37</v>
      </c>
      <c r="C1303" s="35"/>
      <c r="D1303" s="35"/>
      <c r="E1303" s="35"/>
      <c r="F1303" s="32">
        <f>SUM(F1300:F1302)</f>
        <v>21709.248</v>
      </c>
    </row>
    <row r="1304" spans="2:6" ht="17" thickBot="1">
      <c r="B1304" s="36"/>
      <c r="C1304" s="8"/>
      <c r="D1304" s="8"/>
      <c r="E1304" s="8"/>
    </row>
    <row r="1305" spans="2:6" ht="18" thickTop="1" thickBot="1">
      <c r="B1305" s="37" t="s">
        <v>38</v>
      </c>
      <c r="C1305" s="8"/>
      <c r="D1305" s="8"/>
      <c r="E1305" s="8"/>
    </row>
    <row r="1306" spans="2:6" ht="18" thickTop="1" thickBot="1">
      <c r="B1306" s="8"/>
      <c r="C1306" s="8"/>
      <c r="D1306" s="8"/>
      <c r="E1306" s="8"/>
    </row>
    <row r="1307" spans="2:6" ht="17" thickTop="1">
      <c r="B1307" s="38"/>
      <c r="C1307" s="13"/>
      <c r="D1307" s="13"/>
      <c r="E1307" s="39"/>
      <c r="F1307" s="40"/>
    </row>
    <row r="1308" spans="2:6" ht="16">
      <c r="B1308" s="38"/>
      <c r="C1308" s="13"/>
      <c r="D1308" s="13"/>
      <c r="E1308" s="41"/>
      <c r="F1308" s="42"/>
    </row>
    <row r="1309" spans="2:6" ht="16">
      <c r="B1309" s="38"/>
      <c r="C1309" s="13"/>
      <c r="D1309" s="13"/>
      <c r="E1309" s="41"/>
      <c r="F1309" s="42"/>
    </row>
    <row r="1310" spans="2:6" ht="17" thickBot="1">
      <c r="B1310" s="54"/>
      <c r="C1310" s="35"/>
      <c r="D1310" s="35"/>
      <c r="E1310" s="44"/>
      <c r="F1310" s="45"/>
    </row>
    <row r="1311" spans="2:6" ht="17" thickTop="1">
      <c r="B1311" s="46"/>
      <c r="C1311" s="46"/>
      <c r="D1311" s="46"/>
      <c r="E1311" s="47"/>
      <c r="F1311" s="47"/>
    </row>
    <row r="1312" spans="2:6" ht="14" thickBot="1">
      <c r="B1312" s="1" t="s">
        <v>0</v>
      </c>
      <c r="C1312" s="1"/>
    </row>
    <row r="1313" spans="2:6" ht="17" thickBot="1">
      <c r="B1313" s="1" t="s">
        <v>1</v>
      </c>
      <c r="C1313" s="1"/>
      <c r="E1313" s="4" t="s">
        <v>2</v>
      </c>
      <c r="F1313" s="5"/>
    </row>
    <row r="1314" spans="2:6">
      <c r="B1314" s="6"/>
    </row>
    <row r="1315" spans="2:6" ht="16">
      <c r="B1315" s="7" t="s">
        <v>3</v>
      </c>
      <c r="C1315" s="7"/>
      <c r="D1315" s="7"/>
      <c r="E1315" s="7"/>
      <c r="F1315" s="7"/>
    </row>
    <row r="1316" spans="2:6" ht="16">
      <c r="B1316" s="8"/>
      <c r="C1316" s="8"/>
      <c r="D1316" s="8"/>
      <c r="E1316" s="8"/>
    </row>
    <row r="1317" spans="2:6" ht="20" customHeight="1">
      <c r="B1317" s="9" t="s">
        <v>4</v>
      </c>
      <c r="C1317" s="10" t="str">
        <f>C1260</f>
        <v>MEJORAMIENTO ESPACIO PUBLICO JJVV LUCILA GODOY ALCAYAGA</v>
      </c>
      <c r="D1317" s="10"/>
      <c r="E1317" s="10"/>
      <c r="F1317" s="11"/>
    </row>
    <row r="1318" spans="2:6" ht="16">
      <c r="B1318" s="12"/>
      <c r="C1318" s="8"/>
      <c r="D1318" s="8"/>
      <c r="E1318" s="8"/>
    </row>
    <row r="1319" spans="2:6" ht="16">
      <c r="B1319" s="9" t="s">
        <v>5</v>
      </c>
      <c r="C1319" s="13" t="s">
        <v>6</v>
      </c>
      <c r="D1319" s="13"/>
      <c r="E1319" s="13"/>
      <c r="F1319" s="14"/>
    </row>
    <row r="1320" spans="2:6" ht="16">
      <c r="B1320" s="9"/>
      <c r="C1320" s="13"/>
      <c r="D1320" s="13"/>
      <c r="E1320" s="13"/>
      <c r="F1320" s="14"/>
    </row>
    <row r="1321" spans="2:6" ht="16">
      <c r="B1321" s="9" t="s">
        <v>7</v>
      </c>
      <c r="C1321" s="13" t="str">
        <f>[1]LGA!A39</f>
        <v>2.3.3</v>
      </c>
      <c r="D1321" s="13"/>
      <c r="E1321" s="13"/>
      <c r="F1321" s="14"/>
    </row>
    <row r="1322" spans="2:6" ht="16">
      <c r="B1322" s="9" t="s">
        <v>8</v>
      </c>
      <c r="C1322" s="13" t="s">
        <v>136</v>
      </c>
      <c r="D1322" s="13"/>
      <c r="E1322" s="13"/>
      <c r="F1322" s="14"/>
    </row>
    <row r="1323" spans="2:6" ht="16">
      <c r="B1323" s="9" t="s">
        <v>10</v>
      </c>
      <c r="C1323" s="13" t="s">
        <v>81</v>
      </c>
      <c r="D1323" s="13"/>
      <c r="E1323" s="13"/>
      <c r="F1323" s="14"/>
    </row>
    <row r="1324" spans="2:6" ht="16">
      <c r="B1324" s="9" t="s">
        <v>12</v>
      </c>
      <c r="C1324" s="15">
        <f>C1267</f>
        <v>46024</v>
      </c>
      <c r="D1324" s="13"/>
      <c r="E1324" s="13"/>
      <c r="F1324" s="14"/>
    </row>
    <row r="1325" spans="2:6" ht="17" thickBot="1">
      <c r="B1325" s="8"/>
      <c r="C1325" s="8"/>
      <c r="D1325" s="8"/>
      <c r="E1325" s="8"/>
    </row>
    <row r="1326" spans="2:6" ht="15" thickTop="1" thickBot="1">
      <c r="B1326" s="16" t="s">
        <v>13</v>
      </c>
      <c r="C1326" s="17" t="s">
        <v>14</v>
      </c>
      <c r="D1326" s="17" t="s">
        <v>15</v>
      </c>
      <c r="E1326" s="17" t="s">
        <v>16</v>
      </c>
      <c r="F1326" s="18" t="s">
        <v>17</v>
      </c>
    </row>
    <row r="1327" spans="2:6" ht="14" thickTop="1">
      <c r="B1327" s="19"/>
      <c r="C1327" s="19"/>
      <c r="D1327" s="19"/>
      <c r="E1327" s="19"/>
      <c r="F1327" s="19"/>
    </row>
    <row r="1328" spans="2:6">
      <c r="B1328" s="20" t="s">
        <v>137</v>
      </c>
      <c r="C1328" s="21" t="s">
        <v>95</v>
      </c>
      <c r="D1328" s="21">
        <v>0.1</v>
      </c>
      <c r="E1328" s="22">
        <v>2958</v>
      </c>
      <c r="F1328" s="22">
        <f t="shared" ref="F1328:F1333" si="21">E1328*D1328</f>
        <v>295.8</v>
      </c>
    </row>
    <row r="1329" spans="2:6">
      <c r="B1329" s="20" t="s">
        <v>138</v>
      </c>
      <c r="C1329" s="21" t="s">
        <v>87</v>
      </c>
      <c r="D1329" s="21">
        <v>0.1</v>
      </c>
      <c r="E1329" s="22">
        <v>18000</v>
      </c>
      <c r="F1329" s="22">
        <f t="shared" si="21"/>
        <v>1800</v>
      </c>
    </row>
    <row r="1330" spans="2:6">
      <c r="B1330" s="20"/>
      <c r="C1330" s="21"/>
      <c r="D1330" s="21"/>
      <c r="E1330" s="22"/>
      <c r="F1330" s="22">
        <f t="shared" si="21"/>
        <v>0</v>
      </c>
    </row>
    <row r="1331" spans="2:6">
      <c r="B1331" s="20"/>
      <c r="C1331" s="21"/>
      <c r="D1331" s="21"/>
      <c r="E1331" s="22"/>
      <c r="F1331" s="22">
        <f t="shared" si="21"/>
        <v>0</v>
      </c>
    </row>
    <row r="1332" spans="2:6">
      <c r="B1332" s="20"/>
      <c r="C1332" s="21"/>
      <c r="D1332" s="21"/>
      <c r="E1332" s="22"/>
      <c r="F1332" s="22">
        <f t="shared" si="21"/>
        <v>0</v>
      </c>
    </row>
    <row r="1333" spans="2:6">
      <c r="B1333" s="20"/>
      <c r="C1333" s="21"/>
      <c r="D1333" s="21"/>
      <c r="E1333" s="22"/>
      <c r="F1333" s="22">
        <f t="shared" si="21"/>
        <v>0</v>
      </c>
    </row>
    <row r="1334" spans="2:6" ht="17" thickBot="1">
      <c r="B1334" s="6" t="s">
        <v>19</v>
      </c>
      <c r="C1334" s="8"/>
      <c r="D1334" s="8"/>
      <c r="E1334" s="8"/>
      <c r="F1334" s="23">
        <f>SUM(F1328:F1333)</f>
        <v>2095.8000000000002</v>
      </c>
    </row>
    <row r="1335" spans="2:6" ht="17" thickBot="1">
      <c r="B1335" s="8"/>
      <c r="C1335" s="8"/>
      <c r="D1335" s="8"/>
      <c r="E1335" s="8"/>
    </row>
    <row r="1336" spans="2:6" ht="15" thickTop="1" thickBot="1">
      <c r="B1336" s="16" t="s">
        <v>20</v>
      </c>
      <c r="C1336" s="17" t="s">
        <v>14</v>
      </c>
      <c r="D1336" s="17" t="s">
        <v>15</v>
      </c>
      <c r="E1336" s="17" t="s">
        <v>16</v>
      </c>
      <c r="F1336" s="18" t="s">
        <v>17</v>
      </c>
    </row>
    <row r="1337" spans="2:6" ht="17" thickTop="1">
      <c r="B1337" s="8"/>
      <c r="C1337" s="8"/>
      <c r="D1337" s="8"/>
      <c r="E1337" s="8"/>
    </row>
    <row r="1338" spans="2:6">
      <c r="B1338" s="24" t="s">
        <v>21</v>
      </c>
      <c r="C1338" s="20" t="s">
        <v>22</v>
      </c>
      <c r="D1338" s="20">
        <v>4.3999999999999997E-2</v>
      </c>
      <c r="E1338" s="22">
        <v>27500</v>
      </c>
      <c r="F1338" s="25">
        <f>E1338*D1338</f>
        <v>1210</v>
      </c>
    </row>
    <row r="1339" spans="2:6">
      <c r="B1339" s="20" t="s">
        <v>23</v>
      </c>
      <c r="C1339" s="20" t="s">
        <v>22</v>
      </c>
      <c r="D1339" s="20">
        <v>4.3999999999999997E-2</v>
      </c>
      <c r="E1339" s="22">
        <v>15000</v>
      </c>
      <c r="F1339" s="25">
        <f>E1339*D1339</f>
        <v>660</v>
      </c>
    </row>
    <row r="1340" spans="2:6" ht="16">
      <c r="B1340" s="26"/>
      <c r="C1340" s="26"/>
      <c r="D1340" s="26"/>
      <c r="E1340" s="26"/>
      <c r="F1340" s="25">
        <f>E1340*D1340</f>
        <v>0</v>
      </c>
    </row>
    <row r="1341" spans="2:6" ht="16">
      <c r="B1341" s="26"/>
      <c r="C1341" s="26"/>
      <c r="D1341" s="26"/>
      <c r="E1341" s="26"/>
      <c r="F1341" s="25">
        <f>E1341*D1341</f>
        <v>0</v>
      </c>
    </row>
    <row r="1342" spans="2:6" ht="16">
      <c r="B1342" s="27" t="s">
        <v>25</v>
      </c>
      <c r="C1342" s="27" t="s">
        <v>26</v>
      </c>
      <c r="D1342" s="28">
        <v>0.32</v>
      </c>
      <c r="E1342" s="29">
        <f>SUM(E1338:E1341)*D1342</f>
        <v>13600</v>
      </c>
      <c r="F1342" s="25">
        <f>SUM(F1338:F1340)*D1342</f>
        <v>598.4</v>
      </c>
    </row>
    <row r="1343" spans="2:6" ht="16">
      <c r="B1343" s="8"/>
      <c r="C1343" s="8"/>
      <c r="D1343" s="8"/>
      <c r="E1343" s="8"/>
    </row>
    <row r="1344" spans="2:6" ht="17" thickBot="1">
      <c r="B1344" s="6" t="s">
        <v>27</v>
      </c>
      <c r="C1344" s="8"/>
      <c r="D1344" s="8"/>
      <c r="E1344" s="8"/>
      <c r="F1344" s="23">
        <f>SUM(F1338:F1342)</f>
        <v>2468.4</v>
      </c>
    </row>
    <row r="1345" spans="2:6" ht="17" thickBot="1">
      <c r="B1345" s="8"/>
      <c r="C1345" s="8"/>
      <c r="D1345" s="8"/>
      <c r="E1345" s="8"/>
    </row>
    <row r="1346" spans="2:6" ht="15" thickTop="1" thickBot="1">
      <c r="B1346" s="16" t="s">
        <v>28</v>
      </c>
      <c r="C1346" s="17" t="s">
        <v>14</v>
      </c>
      <c r="D1346" s="17" t="s">
        <v>15</v>
      </c>
      <c r="E1346" s="17" t="s">
        <v>16</v>
      </c>
      <c r="F1346" s="18" t="s">
        <v>17</v>
      </c>
    </row>
    <row r="1347" spans="2:6" ht="17" thickTop="1">
      <c r="B1347" s="8"/>
      <c r="C1347" s="8"/>
      <c r="D1347" s="8"/>
      <c r="E1347" s="8"/>
    </row>
    <row r="1348" spans="2:6">
      <c r="B1348" s="20" t="s">
        <v>93</v>
      </c>
      <c r="C1348" s="20" t="s">
        <v>32</v>
      </c>
      <c r="D1348" s="20">
        <v>4.3999999999999997E-2</v>
      </c>
      <c r="E1348" s="22">
        <v>25000</v>
      </c>
      <c r="F1348" s="25">
        <f>E1348*D1348</f>
        <v>1100</v>
      </c>
    </row>
    <row r="1349" spans="2:6">
      <c r="B1349" s="20"/>
      <c r="C1349" s="20"/>
      <c r="D1349" s="55"/>
      <c r="E1349" s="22"/>
      <c r="F1349" s="25">
        <f>E1349*D1349</f>
        <v>0</v>
      </c>
    </row>
    <row r="1350" spans="2:6" ht="16">
      <c r="B1350" s="26"/>
      <c r="C1350" s="26"/>
      <c r="D1350" s="26"/>
      <c r="E1350" s="26"/>
      <c r="F1350" s="25">
        <f>E1350*D1350</f>
        <v>0</v>
      </c>
    </row>
    <row r="1351" spans="2:6" ht="16">
      <c r="B1351" s="26"/>
      <c r="C1351" s="26"/>
      <c r="D1351" s="26"/>
      <c r="E1351" s="26"/>
      <c r="F1351" s="25">
        <f>E1351*D1351</f>
        <v>0</v>
      </c>
    </row>
    <row r="1352" spans="2:6" ht="16">
      <c r="B1352" s="30"/>
      <c r="C1352" s="26"/>
      <c r="D1352" s="26"/>
      <c r="E1352" s="26"/>
      <c r="F1352" s="25">
        <f>E1352*D1352</f>
        <v>0</v>
      </c>
    </row>
    <row r="1353" spans="2:6" ht="16">
      <c r="B1353" s="8"/>
      <c r="C1353" s="8"/>
      <c r="D1353" s="8"/>
      <c r="E1353" s="8"/>
    </row>
    <row r="1354" spans="2:6" ht="14" thickBot="1">
      <c r="B1354" s="19" t="s">
        <v>33</v>
      </c>
      <c r="C1354" s="19"/>
      <c r="D1354" s="19"/>
      <c r="E1354" s="19"/>
      <c r="F1354" s="23">
        <f>SUM(F1348:F1353)</f>
        <v>1100</v>
      </c>
    </row>
    <row r="1355" spans="2:6" ht="16">
      <c r="B1355" s="8"/>
      <c r="C1355" s="8"/>
      <c r="D1355" s="8"/>
      <c r="E1355" s="8"/>
    </row>
    <row r="1356" spans="2:6" ht="17" thickBot="1">
      <c r="B1356" s="8"/>
      <c r="C1356" s="8"/>
      <c r="D1356" s="8"/>
      <c r="E1356" s="8"/>
    </row>
    <row r="1357" spans="2:6" ht="17" thickBot="1">
      <c r="B1357" s="31" t="s">
        <v>34</v>
      </c>
      <c r="C1357" s="13"/>
      <c r="D1357" s="13"/>
      <c r="E1357" s="13"/>
      <c r="F1357" s="32">
        <f>F1334+F1344+F1354</f>
        <v>5664.2000000000007</v>
      </c>
    </row>
    <row r="1358" spans="2:6" ht="17" thickBot="1">
      <c r="B1358" s="31" t="s">
        <v>35</v>
      </c>
      <c r="C1358" s="13"/>
      <c r="D1358" s="13"/>
      <c r="E1358" s="33">
        <f>E1301</f>
        <v>0.1</v>
      </c>
      <c r="F1358" s="32">
        <f>F1357*E1358</f>
        <v>566.42000000000007</v>
      </c>
    </row>
    <row r="1359" spans="2:6" ht="17" thickBot="1">
      <c r="B1359" s="31" t="s">
        <v>36</v>
      </c>
      <c r="C1359" s="13"/>
      <c r="D1359" s="13"/>
      <c r="E1359" s="33">
        <f>E1302</f>
        <v>0.1</v>
      </c>
      <c r="F1359" s="32">
        <f>F1357*E1359</f>
        <v>566.42000000000007</v>
      </c>
    </row>
    <row r="1360" spans="2:6" ht="17" thickBot="1">
      <c r="B1360" s="34" t="s">
        <v>37</v>
      </c>
      <c r="C1360" s="35"/>
      <c r="D1360" s="35"/>
      <c r="E1360" s="35"/>
      <c r="F1360" s="32">
        <f>SUM(F1357:F1359)</f>
        <v>6797.0400000000009</v>
      </c>
    </row>
    <row r="1361" spans="2:6" ht="17" thickBot="1">
      <c r="B1361" s="36"/>
      <c r="C1361" s="8"/>
      <c r="D1361" s="8"/>
      <c r="E1361" s="8"/>
    </row>
    <row r="1362" spans="2:6" ht="18" thickTop="1" thickBot="1">
      <c r="B1362" s="37" t="s">
        <v>38</v>
      </c>
      <c r="C1362" s="8"/>
      <c r="D1362" s="8"/>
      <c r="E1362" s="8"/>
    </row>
    <row r="1363" spans="2:6" ht="18" thickTop="1" thickBot="1">
      <c r="B1363" s="8"/>
      <c r="C1363" s="8"/>
      <c r="D1363" s="8"/>
      <c r="E1363" s="8"/>
    </row>
    <row r="1364" spans="2:6" ht="17" thickTop="1">
      <c r="B1364" s="38"/>
      <c r="C1364" s="13"/>
      <c r="D1364" s="13"/>
      <c r="E1364" s="39"/>
      <c r="F1364" s="40"/>
    </row>
    <row r="1365" spans="2:6" ht="16">
      <c r="B1365" s="38"/>
      <c r="C1365" s="13"/>
      <c r="D1365" s="13"/>
      <c r="E1365" s="41"/>
      <c r="F1365" s="42"/>
    </row>
    <row r="1366" spans="2:6" ht="16">
      <c r="B1366" s="38"/>
      <c r="C1366" s="13"/>
      <c r="D1366" s="13"/>
      <c r="E1366" s="41"/>
      <c r="F1366" s="42"/>
    </row>
    <row r="1367" spans="2:6" ht="17" thickBot="1">
      <c r="B1367" s="54"/>
      <c r="C1367" s="35"/>
      <c r="D1367" s="35"/>
      <c r="E1367" s="44"/>
      <c r="F1367" s="45"/>
    </row>
    <row r="1368" spans="2:6" ht="17" thickTop="1">
      <c r="B1368" s="46"/>
      <c r="C1368" s="46"/>
      <c r="D1368" s="46"/>
      <c r="E1368" s="47"/>
      <c r="F1368" s="47"/>
    </row>
    <row r="1369" spans="2:6" ht="14" thickBot="1">
      <c r="B1369" s="1" t="s">
        <v>0</v>
      </c>
      <c r="C1369" s="1"/>
    </row>
    <row r="1370" spans="2:6" ht="17" thickBot="1">
      <c r="B1370" s="1" t="s">
        <v>1</v>
      </c>
      <c r="C1370" s="1"/>
      <c r="E1370" s="4" t="s">
        <v>2</v>
      </c>
      <c r="F1370" s="5"/>
    </row>
    <row r="1371" spans="2:6">
      <c r="B1371" s="6"/>
    </row>
    <row r="1372" spans="2:6" ht="16">
      <c r="B1372" s="7" t="s">
        <v>3</v>
      </c>
      <c r="C1372" s="7"/>
      <c r="D1372" s="7"/>
      <c r="E1372" s="7"/>
      <c r="F1372" s="7"/>
    </row>
    <row r="1373" spans="2:6" ht="16">
      <c r="B1373" s="8"/>
      <c r="C1373" s="8"/>
      <c r="D1373" s="8"/>
      <c r="E1373" s="8"/>
    </row>
    <row r="1374" spans="2:6" ht="18" customHeight="1">
      <c r="B1374" s="9" t="s">
        <v>4</v>
      </c>
      <c r="C1374" s="10" t="str">
        <f>C1317</f>
        <v>MEJORAMIENTO ESPACIO PUBLICO JJVV LUCILA GODOY ALCAYAGA</v>
      </c>
      <c r="D1374" s="10"/>
      <c r="E1374" s="10"/>
      <c r="F1374" s="11"/>
    </row>
    <row r="1375" spans="2:6" ht="16">
      <c r="B1375" s="12"/>
      <c r="C1375" s="8"/>
      <c r="D1375" s="8"/>
      <c r="E1375" s="8"/>
    </row>
    <row r="1376" spans="2:6" ht="16">
      <c r="B1376" s="9" t="s">
        <v>5</v>
      </c>
      <c r="C1376" s="13" t="s">
        <v>6</v>
      </c>
      <c r="D1376" s="13"/>
      <c r="E1376" s="13"/>
      <c r="F1376" s="14"/>
    </row>
    <row r="1377" spans="2:6" ht="16">
      <c r="B1377" s="9"/>
      <c r="C1377" s="13"/>
      <c r="D1377" s="13"/>
      <c r="E1377" s="13"/>
      <c r="F1377" s="14"/>
    </row>
    <row r="1378" spans="2:6" ht="16">
      <c r="B1378" s="9" t="s">
        <v>7</v>
      </c>
      <c r="C1378" s="13" t="str">
        <f>[1]LGA!A40</f>
        <v>2.3.4</v>
      </c>
      <c r="D1378" s="13"/>
      <c r="E1378" s="13"/>
      <c r="F1378" s="14"/>
    </row>
    <row r="1379" spans="2:6" ht="16">
      <c r="B1379" s="9" t="s">
        <v>8</v>
      </c>
      <c r="C1379" s="13" t="s">
        <v>139</v>
      </c>
      <c r="D1379" s="13"/>
      <c r="E1379" s="13"/>
      <c r="F1379" s="14"/>
    </row>
    <row r="1380" spans="2:6" ht="16">
      <c r="B1380" s="9" t="s">
        <v>10</v>
      </c>
      <c r="C1380" s="13" t="s">
        <v>41</v>
      </c>
      <c r="D1380" s="13"/>
      <c r="E1380" s="13"/>
      <c r="F1380" s="14"/>
    </row>
    <row r="1381" spans="2:6" ht="16">
      <c r="B1381" s="9" t="s">
        <v>12</v>
      </c>
      <c r="C1381" s="15">
        <f>C1324</f>
        <v>46024</v>
      </c>
      <c r="D1381" s="13"/>
      <c r="E1381" s="13"/>
      <c r="F1381" s="14"/>
    </row>
    <row r="1382" spans="2:6" ht="17" thickBot="1">
      <c r="B1382" s="8"/>
      <c r="C1382" s="8"/>
      <c r="D1382" s="8"/>
      <c r="E1382" s="8"/>
    </row>
    <row r="1383" spans="2:6" ht="15" thickTop="1" thickBot="1">
      <c r="B1383" s="16" t="s">
        <v>13</v>
      </c>
      <c r="C1383" s="17" t="s">
        <v>14</v>
      </c>
      <c r="D1383" s="17" t="s">
        <v>15</v>
      </c>
      <c r="E1383" s="17" t="s">
        <v>16</v>
      </c>
      <c r="F1383" s="18" t="s">
        <v>17</v>
      </c>
    </row>
    <row r="1384" spans="2:6" ht="14" thickTop="1">
      <c r="B1384" s="19"/>
      <c r="C1384" s="19"/>
      <c r="D1384" s="19"/>
      <c r="E1384" s="19"/>
      <c r="F1384" s="19"/>
    </row>
    <row r="1385" spans="2:6">
      <c r="B1385" s="20" t="s">
        <v>140</v>
      </c>
      <c r="C1385" s="21" t="s">
        <v>43</v>
      </c>
      <c r="D1385" s="21">
        <v>1</v>
      </c>
      <c r="E1385" s="22">
        <v>10200</v>
      </c>
      <c r="F1385" s="22">
        <f>E1385*D1385</f>
        <v>10200</v>
      </c>
    </row>
    <row r="1386" spans="2:6">
      <c r="B1386" s="20" t="s">
        <v>141</v>
      </c>
      <c r="C1386" s="21" t="s">
        <v>142</v>
      </c>
      <c r="D1386" s="21">
        <v>0.19</v>
      </c>
      <c r="E1386" s="22">
        <v>3200</v>
      </c>
      <c r="F1386" s="22">
        <f>E1386*D1386</f>
        <v>608</v>
      </c>
    </row>
    <row r="1387" spans="2:6">
      <c r="B1387" s="20" t="s">
        <v>143</v>
      </c>
      <c r="C1387" s="21" t="s">
        <v>144</v>
      </c>
      <c r="D1387" s="21">
        <v>0.19</v>
      </c>
      <c r="E1387" s="22">
        <v>15000</v>
      </c>
      <c r="F1387" s="22">
        <f>E1387*D1387</f>
        <v>2850</v>
      </c>
    </row>
    <row r="1388" spans="2:6">
      <c r="B1388" s="20"/>
      <c r="C1388" s="21"/>
      <c r="D1388" s="21"/>
      <c r="E1388" s="22"/>
      <c r="F1388" s="22">
        <f>E1388*D1388</f>
        <v>0</v>
      </c>
    </row>
    <row r="1389" spans="2:6" ht="17" thickBot="1">
      <c r="B1389" s="6" t="s">
        <v>19</v>
      </c>
      <c r="C1389" s="8"/>
      <c r="D1389" s="8"/>
      <c r="E1389" s="8"/>
      <c r="F1389" s="23">
        <f>SUM(F1385:F1388)/3</f>
        <v>4552.666666666667</v>
      </c>
    </row>
    <row r="1390" spans="2:6" ht="17" thickBot="1">
      <c r="B1390" s="8"/>
      <c r="C1390" s="8"/>
      <c r="D1390" s="8"/>
      <c r="E1390" s="8"/>
    </row>
    <row r="1391" spans="2:6" ht="15" thickTop="1" thickBot="1">
      <c r="B1391" s="16" t="s">
        <v>20</v>
      </c>
      <c r="C1391" s="17" t="s">
        <v>14</v>
      </c>
      <c r="D1391" s="17" t="s">
        <v>15</v>
      </c>
      <c r="E1391" s="17" t="s">
        <v>16</v>
      </c>
      <c r="F1391" s="18" t="s">
        <v>17</v>
      </c>
    </row>
    <row r="1392" spans="2:6" ht="17" thickTop="1">
      <c r="B1392" s="8"/>
      <c r="C1392" s="8"/>
      <c r="D1392" s="8"/>
      <c r="E1392" s="8"/>
    </row>
    <row r="1393" spans="2:6">
      <c r="B1393" s="24" t="s">
        <v>21</v>
      </c>
      <c r="C1393" s="20" t="s">
        <v>22</v>
      </c>
      <c r="D1393" s="20">
        <v>1.4E-2</v>
      </c>
      <c r="E1393" s="22">
        <v>27500</v>
      </c>
      <c r="F1393" s="25">
        <f>E1393*D1393</f>
        <v>385</v>
      </c>
    </row>
    <row r="1394" spans="2:6">
      <c r="B1394" s="20" t="s">
        <v>23</v>
      </c>
      <c r="C1394" s="20" t="s">
        <v>22</v>
      </c>
      <c r="D1394" s="20">
        <v>1.4E-2</v>
      </c>
      <c r="E1394" s="22">
        <v>15000</v>
      </c>
      <c r="F1394" s="25">
        <f>E1394*D1394</f>
        <v>210</v>
      </c>
    </row>
    <row r="1395" spans="2:6" ht="16">
      <c r="B1395" s="26"/>
      <c r="C1395" s="26"/>
      <c r="D1395" s="26"/>
      <c r="E1395" s="26"/>
      <c r="F1395" s="25">
        <f>E1395*D1395</f>
        <v>0</v>
      </c>
    </row>
    <row r="1396" spans="2:6" ht="16">
      <c r="B1396" s="26"/>
      <c r="C1396" s="26"/>
      <c r="D1396" s="26"/>
      <c r="E1396" s="26"/>
      <c r="F1396" s="25">
        <f>E1396*D1396</f>
        <v>0</v>
      </c>
    </row>
    <row r="1397" spans="2:6" ht="16">
      <c r="B1397" s="27" t="s">
        <v>25</v>
      </c>
      <c r="C1397" s="27" t="s">
        <v>26</v>
      </c>
      <c r="D1397" s="28">
        <v>0.32</v>
      </c>
      <c r="E1397" s="29">
        <f>SUM(E1393:E1396)*D1397</f>
        <v>13600</v>
      </c>
      <c r="F1397" s="25">
        <f>SUM(F1393:F1396)*D1397</f>
        <v>190.4</v>
      </c>
    </row>
    <row r="1398" spans="2:6" ht="16">
      <c r="B1398" s="8"/>
      <c r="C1398" s="8"/>
      <c r="D1398" s="8"/>
      <c r="E1398" s="8"/>
    </row>
    <row r="1399" spans="2:6" ht="17" thickBot="1">
      <c r="B1399" s="6" t="s">
        <v>27</v>
      </c>
      <c r="C1399" s="8"/>
      <c r="D1399" s="8"/>
      <c r="E1399" s="8"/>
      <c r="F1399" s="23">
        <f>SUM(F1393:F1398)</f>
        <v>785.4</v>
      </c>
    </row>
    <row r="1400" spans="2:6" ht="17" thickBot="1">
      <c r="B1400" s="8"/>
      <c r="C1400" s="8"/>
      <c r="D1400" s="8"/>
      <c r="E1400" s="8"/>
    </row>
    <row r="1401" spans="2:6" ht="15" thickTop="1" thickBot="1">
      <c r="B1401" s="16" t="s">
        <v>28</v>
      </c>
      <c r="C1401" s="17" t="s">
        <v>14</v>
      </c>
      <c r="D1401" s="17" t="s">
        <v>15</v>
      </c>
      <c r="E1401" s="17" t="s">
        <v>16</v>
      </c>
      <c r="F1401" s="18" t="s">
        <v>17</v>
      </c>
    </row>
    <row r="1402" spans="2:6" ht="17" thickTop="1">
      <c r="B1402" s="8"/>
      <c r="C1402" s="8"/>
      <c r="D1402" s="8"/>
      <c r="E1402" s="8"/>
    </row>
    <row r="1403" spans="2:6">
      <c r="B1403" s="20"/>
      <c r="C1403" s="20"/>
      <c r="D1403" s="20"/>
      <c r="E1403" s="22"/>
      <c r="F1403" s="25">
        <f>E1403*D1403</f>
        <v>0</v>
      </c>
    </row>
    <row r="1404" spans="2:6">
      <c r="B1404" s="20" t="s">
        <v>31</v>
      </c>
      <c r="C1404" s="20" t="s">
        <v>32</v>
      </c>
      <c r="D1404" s="68">
        <v>0.01</v>
      </c>
      <c r="E1404" s="22">
        <v>25000</v>
      </c>
      <c r="F1404" s="25">
        <f>E1404*D1404</f>
        <v>250</v>
      </c>
    </row>
    <row r="1405" spans="2:6" ht="16">
      <c r="B1405" s="26"/>
      <c r="C1405" s="26"/>
      <c r="D1405" s="26"/>
      <c r="E1405" s="26"/>
      <c r="F1405" s="25">
        <f>E1405*D1405</f>
        <v>0</v>
      </c>
    </row>
    <row r="1406" spans="2:6" ht="16">
      <c r="B1406" s="26"/>
      <c r="C1406" s="26"/>
      <c r="D1406" s="26"/>
      <c r="E1406" s="26"/>
      <c r="F1406" s="25">
        <f>E1406*D1406</f>
        <v>0</v>
      </c>
    </row>
    <row r="1407" spans="2:6" ht="16">
      <c r="B1407" s="30"/>
      <c r="C1407" s="26"/>
      <c r="D1407" s="26"/>
      <c r="E1407" s="26"/>
      <c r="F1407" s="25">
        <f>E1407*D1407</f>
        <v>0</v>
      </c>
    </row>
    <row r="1408" spans="2:6" ht="16">
      <c r="B1408" s="8"/>
      <c r="C1408" s="8"/>
      <c r="D1408" s="8"/>
      <c r="E1408" s="8"/>
    </row>
    <row r="1409" spans="2:6" ht="14" thickBot="1">
      <c r="B1409" s="19" t="s">
        <v>33</v>
      </c>
      <c r="C1409" s="19"/>
      <c r="D1409" s="19"/>
      <c r="E1409" s="19"/>
      <c r="F1409" s="23">
        <f>SUM(F1403:F1408)</f>
        <v>250</v>
      </c>
    </row>
    <row r="1410" spans="2:6" ht="16">
      <c r="B1410" s="8"/>
      <c r="C1410" s="8"/>
      <c r="D1410" s="8"/>
      <c r="E1410" s="8"/>
    </row>
    <row r="1411" spans="2:6" ht="17" thickBot="1">
      <c r="B1411" s="8"/>
      <c r="C1411" s="8"/>
      <c r="D1411" s="8"/>
      <c r="E1411" s="8"/>
    </row>
    <row r="1412" spans="2:6" ht="17" thickBot="1">
      <c r="B1412" s="31" t="s">
        <v>34</v>
      </c>
      <c r="C1412" s="13"/>
      <c r="D1412" s="13"/>
      <c r="E1412" s="13"/>
      <c r="F1412" s="32">
        <f>F1389+F1399+F1409</f>
        <v>5588.0666666666666</v>
      </c>
    </row>
    <row r="1413" spans="2:6" ht="17" thickBot="1">
      <c r="B1413" s="31" t="s">
        <v>35</v>
      </c>
      <c r="C1413" s="13"/>
      <c r="D1413" s="13"/>
      <c r="E1413" s="33">
        <v>0.1</v>
      </c>
      <c r="F1413" s="32">
        <f>F1412*E1413</f>
        <v>558.80666666666673</v>
      </c>
    </row>
    <row r="1414" spans="2:6" ht="17" thickBot="1">
      <c r="B1414" s="31" t="s">
        <v>36</v>
      </c>
      <c r="C1414" s="13"/>
      <c r="D1414" s="13"/>
      <c r="E1414" s="72">
        <v>0.1</v>
      </c>
      <c r="F1414" s="32">
        <f>F1412*E1414</f>
        <v>558.80666666666673</v>
      </c>
    </row>
    <row r="1415" spans="2:6" ht="17" thickBot="1">
      <c r="B1415" s="34" t="s">
        <v>37</v>
      </c>
      <c r="C1415" s="35"/>
      <c r="D1415" s="35"/>
      <c r="E1415" s="35"/>
      <c r="F1415" s="32">
        <f>SUM(F1412:F1414)</f>
        <v>6705.6799999999994</v>
      </c>
    </row>
    <row r="1416" spans="2:6" ht="17" thickBot="1">
      <c r="B1416" s="36"/>
      <c r="C1416" s="8"/>
      <c r="D1416" s="8"/>
      <c r="E1416" s="8"/>
    </row>
    <row r="1417" spans="2:6" ht="18" thickTop="1" thickBot="1">
      <c r="B1417" s="37" t="s">
        <v>38</v>
      </c>
      <c r="C1417" s="8"/>
      <c r="D1417" s="8"/>
      <c r="E1417" s="8"/>
    </row>
    <row r="1418" spans="2:6" ht="18" thickTop="1" thickBot="1">
      <c r="B1418" s="8"/>
      <c r="C1418" s="8"/>
      <c r="D1418" s="8"/>
      <c r="E1418" s="8"/>
    </row>
    <row r="1419" spans="2:6" ht="17" thickTop="1">
      <c r="B1419" s="38"/>
      <c r="C1419" s="13"/>
      <c r="D1419" s="13"/>
      <c r="E1419" s="39"/>
      <c r="F1419" s="40"/>
    </row>
    <row r="1420" spans="2:6" ht="16">
      <c r="B1420" s="38"/>
      <c r="C1420" s="13"/>
      <c r="D1420" s="13"/>
      <c r="E1420" s="41"/>
      <c r="F1420" s="42"/>
    </row>
    <row r="1421" spans="2:6" ht="16">
      <c r="B1421" s="38"/>
      <c r="C1421" s="13"/>
      <c r="D1421" s="13"/>
      <c r="E1421" s="41"/>
      <c r="F1421" s="42"/>
    </row>
    <row r="1422" spans="2:6" ht="17" thickBot="1">
      <c r="B1422" s="54"/>
      <c r="C1422" s="35"/>
      <c r="D1422" s="35"/>
      <c r="E1422" s="44"/>
      <c r="F1422" s="45"/>
    </row>
    <row r="1423" spans="2:6" ht="17" thickTop="1">
      <c r="B1423" s="46"/>
      <c r="C1423" s="46"/>
      <c r="D1423" s="46"/>
      <c r="E1423" s="47"/>
      <c r="F1423" s="47"/>
    </row>
    <row r="1424" spans="2:6" ht="14" thickBot="1">
      <c r="B1424" s="1" t="s">
        <v>0</v>
      </c>
      <c r="C1424" s="1"/>
    </row>
    <row r="1425" spans="2:6" ht="17" thickBot="1">
      <c r="B1425" s="1" t="s">
        <v>1</v>
      </c>
      <c r="C1425" s="1"/>
      <c r="E1425" s="4" t="s">
        <v>2</v>
      </c>
      <c r="F1425" s="5"/>
    </row>
    <row r="1426" spans="2:6">
      <c r="B1426" s="6"/>
    </row>
    <row r="1427" spans="2:6" ht="16">
      <c r="B1427" s="7" t="s">
        <v>3</v>
      </c>
      <c r="C1427" s="7"/>
      <c r="D1427" s="7"/>
      <c r="E1427" s="7"/>
      <c r="F1427" s="7"/>
    </row>
    <row r="1428" spans="2:6" ht="16">
      <c r="B1428" s="8"/>
      <c r="C1428" s="8"/>
      <c r="D1428" s="8"/>
      <c r="E1428" s="8"/>
    </row>
    <row r="1429" spans="2:6" ht="16">
      <c r="B1429" s="9" t="s">
        <v>4</v>
      </c>
      <c r="C1429" s="13" t="str">
        <f>C1374</f>
        <v>MEJORAMIENTO ESPACIO PUBLICO JJVV LUCILA GODOY ALCAYAGA</v>
      </c>
      <c r="D1429" s="13"/>
      <c r="E1429" s="13"/>
      <c r="F1429" s="14"/>
    </row>
    <row r="1430" spans="2:6" ht="16">
      <c r="B1430" s="12"/>
      <c r="C1430" s="8"/>
      <c r="D1430" s="8"/>
      <c r="E1430" s="8"/>
    </row>
    <row r="1431" spans="2:6" ht="16">
      <c r="B1431" s="9" t="s">
        <v>5</v>
      </c>
      <c r="C1431" s="13" t="s">
        <v>6</v>
      </c>
      <c r="D1431" s="13"/>
      <c r="E1431" s="13"/>
      <c r="F1431" s="14"/>
    </row>
    <row r="1432" spans="2:6" ht="16">
      <c r="B1432" s="9"/>
      <c r="C1432" s="13"/>
      <c r="D1432" s="13"/>
      <c r="E1432" s="13"/>
      <c r="F1432" s="14"/>
    </row>
    <row r="1433" spans="2:6" ht="16">
      <c r="B1433" s="9" t="s">
        <v>7</v>
      </c>
      <c r="C1433" s="13" t="str">
        <f>[1]LGA!A41</f>
        <v>2.3.5</v>
      </c>
      <c r="D1433" s="13"/>
      <c r="E1433" s="13"/>
      <c r="F1433" s="14"/>
    </row>
    <row r="1434" spans="2:6" ht="16">
      <c r="B1434" s="9" t="s">
        <v>8</v>
      </c>
      <c r="C1434" s="13" t="s">
        <v>145</v>
      </c>
      <c r="D1434" s="13"/>
      <c r="E1434" s="13"/>
      <c r="F1434" s="14"/>
    </row>
    <row r="1435" spans="2:6" ht="16">
      <c r="B1435" s="9" t="s">
        <v>10</v>
      </c>
      <c r="C1435" s="13" t="s">
        <v>120</v>
      </c>
      <c r="D1435" s="13"/>
      <c r="E1435" s="13"/>
      <c r="F1435" s="14"/>
    </row>
    <row r="1436" spans="2:6" ht="16">
      <c r="B1436" s="9" t="s">
        <v>12</v>
      </c>
      <c r="C1436" s="15">
        <f>C1381</f>
        <v>46024</v>
      </c>
      <c r="D1436" s="13"/>
      <c r="E1436" s="13"/>
      <c r="F1436" s="14"/>
    </row>
    <row r="1437" spans="2:6" ht="17" thickBot="1">
      <c r="B1437" s="8"/>
      <c r="C1437" s="8"/>
      <c r="D1437" s="8"/>
      <c r="E1437" s="8"/>
    </row>
    <row r="1438" spans="2:6" ht="15" thickTop="1" thickBot="1">
      <c r="B1438" s="16" t="s">
        <v>13</v>
      </c>
      <c r="C1438" s="17" t="s">
        <v>14</v>
      </c>
      <c r="D1438" s="17" t="s">
        <v>15</v>
      </c>
      <c r="E1438" s="17" t="s">
        <v>16</v>
      </c>
      <c r="F1438" s="18" t="s">
        <v>17</v>
      </c>
    </row>
    <row r="1439" spans="2:6" ht="14" thickTop="1">
      <c r="B1439" s="19"/>
      <c r="C1439" s="19"/>
      <c r="D1439" s="19"/>
      <c r="E1439" s="19"/>
      <c r="F1439" s="19"/>
    </row>
    <row r="1440" spans="2:6">
      <c r="B1440" s="20" t="s">
        <v>146</v>
      </c>
      <c r="C1440" s="21" t="s">
        <v>81</v>
      </c>
      <c r="D1440" s="21">
        <v>1</v>
      </c>
      <c r="E1440" s="22">
        <v>145000</v>
      </c>
      <c r="F1440" s="22">
        <f t="shared" ref="F1440:F1445" si="22">E1440*D1440</f>
        <v>145000</v>
      </c>
    </row>
    <row r="1441" spans="2:6">
      <c r="B1441" s="20"/>
      <c r="C1441" s="21"/>
      <c r="D1441" s="21"/>
      <c r="E1441" s="22"/>
      <c r="F1441" s="22">
        <f t="shared" si="22"/>
        <v>0</v>
      </c>
    </row>
    <row r="1442" spans="2:6">
      <c r="B1442" s="20"/>
      <c r="C1442" s="21"/>
      <c r="D1442" s="21"/>
      <c r="E1442" s="22"/>
      <c r="F1442" s="22">
        <f t="shared" si="22"/>
        <v>0</v>
      </c>
    </row>
    <row r="1443" spans="2:6">
      <c r="B1443" s="20"/>
      <c r="C1443" s="21"/>
      <c r="D1443" s="21"/>
      <c r="E1443" s="22"/>
      <c r="F1443" s="22">
        <f t="shared" si="22"/>
        <v>0</v>
      </c>
    </row>
    <row r="1444" spans="2:6">
      <c r="B1444" s="20"/>
      <c r="C1444" s="21"/>
      <c r="D1444" s="21"/>
      <c r="E1444" s="22"/>
      <c r="F1444" s="22">
        <f t="shared" si="22"/>
        <v>0</v>
      </c>
    </row>
    <row r="1445" spans="2:6">
      <c r="B1445" s="20"/>
      <c r="C1445" s="21"/>
      <c r="D1445" s="21"/>
      <c r="E1445" s="22"/>
      <c r="F1445" s="22">
        <f t="shared" si="22"/>
        <v>0</v>
      </c>
    </row>
    <row r="1446" spans="2:6" ht="17" thickBot="1">
      <c r="B1446" s="6" t="s">
        <v>19</v>
      </c>
      <c r="C1446" s="8"/>
      <c r="D1446" s="8"/>
      <c r="E1446" s="8"/>
      <c r="F1446" s="23">
        <f>SUM(F1440:F1445)</f>
        <v>145000</v>
      </c>
    </row>
    <row r="1447" spans="2:6" ht="17" thickBot="1">
      <c r="B1447" s="8"/>
      <c r="C1447" s="8"/>
      <c r="D1447" s="8"/>
      <c r="E1447" s="8"/>
    </row>
    <row r="1448" spans="2:6" ht="15" thickTop="1" thickBot="1">
      <c r="B1448" s="16" t="s">
        <v>20</v>
      </c>
      <c r="C1448" s="17" t="s">
        <v>14</v>
      </c>
      <c r="D1448" s="17" t="s">
        <v>15</v>
      </c>
      <c r="E1448" s="17" t="s">
        <v>16</v>
      </c>
      <c r="F1448" s="18" t="s">
        <v>17</v>
      </c>
    </row>
    <row r="1449" spans="2:6" ht="17" thickTop="1">
      <c r="B1449" s="8"/>
      <c r="C1449" s="8"/>
      <c r="D1449" s="8"/>
      <c r="E1449" s="8"/>
    </row>
    <row r="1450" spans="2:6">
      <c r="B1450" s="24" t="s">
        <v>21</v>
      </c>
      <c r="C1450" s="20" t="s">
        <v>22</v>
      </c>
      <c r="D1450" s="20">
        <v>8</v>
      </c>
      <c r="E1450" s="22">
        <v>27500</v>
      </c>
      <c r="F1450" s="25">
        <f>E1450*D1450</f>
        <v>220000</v>
      </c>
    </row>
    <row r="1451" spans="2:6">
      <c r="B1451" s="20" t="s">
        <v>23</v>
      </c>
      <c r="C1451" s="20" t="s">
        <v>22</v>
      </c>
      <c r="D1451" s="20">
        <v>8</v>
      </c>
      <c r="E1451" s="22">
        <v>15000</v>
      </c>
      <c r="F1451" s="25">
        <f>E1451*D1451</f>
        <v>120000</v>
      </c>
    </row>
    <row r="1452" spans="2:6" ht="16">
      <c r="B1452" s="26"/>
      <c r="C1452" s="26"/>
      <c r="D1452" s="26"/>
      <c r="E1452" s="26"/>
      <c r="F1452" s="25">
        <f>E1452*D1452</f>
        <v>0</v>
      </c>
    </row>
    <row r="1453" spans="2:6" ht="16">
      <c r="B1453" s="26"/>
      <c r="C1453" s="26"/>
      <c r="D1453" s="26"/>
      <c r="E1453" s="26"/>
      <c r="F1453" s="25">
        <f>E1453*D1453</f>
        <v>0</v>
      </c>
    </row>
    <row r="1454" spans="2:6" ht="16">
      <c r="B1454" s="27" t="s">
        <v>25</v>
      </c>
      <c r="C1454" s="27" t="s">
        <v>26</v>
      </c>
      <c r="D1454" s="28">
        <v>0.32</v>
      </c>
      <c r="E1454" s="29">
        <f>SUM(E1450:E1453)*D1454</f>
        <v>13600</v>
      </c>
      <c r="F1454" s="25">
        <f>E1454*D1454</f>
        <v>4352</v>
      </c>
    </row>
    <row r="1455" spans="2:6" ht="16">
      <c r="B1455" s="8"/>
      <c r="C1455" s="8"/>
      <c r="D1455" s="8"/>
      <c r="E1455" s="8"/>
    </row>
    <row r="1456" spans="2:6" ht="17" thickBot="1">
      <c r="B1456" s="6" t="s">
        <v>27</v>
      </c>
      <c r="C1456" s="8"/>
      <c r="D1456" s="8"/>
      <c r="E1456" s="8"/>
      <c r="F1456" s="23">
        <f>SUM(F1450:F1455)</f>
        <v>344352</v>
      </c>
    </row>
    <row r="1457" spans="2:6" ht="17" thickBot="1">
      <c r="B1457" s="8"/>
      <c r="C1457" s="8"/>
      <c r="D1457" s="8"/>
      <c r="E1457" s="8"/>
    </row>
    <row r="1458" spans="2:6" ht="15" thickTop="1" thickBot="1">
      <c r="B1458" s="16" t="s">
        <v>28</v>
      </c>
      <c r="C1458" s="17" t="s">
        <v>14</v>
      </c>
      <c r="D1458" s="17" t="s">
        <v>15</v>
      </c>
      <c r="E1458" s="17" t="s">
        <v>16</v>
      </c>
      <c r="F1458" s="18" t="s">
        <v>17</v>
      </c>
    </row>
    <row r="1459" spans="2:6" ht="17" thickTop="1">
      <c r="B1459" s="8"/>
      <c r="C1459" s="8"/>
      <c r="D1459" s="8"/>
      <c r="E1459" s="8"/>
    </row>
    <row r="1460" spans="2:6">
      <c r="B1460" s="20" t="s">
        <v>125</v>
      </c>
      <c r="C1460" s="20" t="s">
        <v>32</v>
      </c>
      <c r="D1460" s="68">
        <v>1</v>
      </c>
      <c r="E1460" s="22">
        <v>15000</v>
      </c>
      <c r="F1460" s="25">
        <f>E1460*D1460</f>
        <v>15000</v>
      </c>
    </row>
    <row r="1461" spans="2:6">
      <c r="B1461" s="20" t="s">
        <v>31</v>
      </c>
      <c r="C1461" s="20" t="s">
        <v>32</v>
      </c>
      <c r="D1461" s="68">
        <v>1</v>
      </c>
      <c r="E1461" s="22">
        <v>25000</v>
      </c>
      <c r="F1461" s="25">
        <f>E1461*D1461</f>
        <v>25000</v>
      </c>
    </row>
    <row r="1462" spans="2:6" ht="16">
      <c r="B1462" s="26"/>
      <c r="C1462" s="26"/>
      <c r="D1462" s="26"/>
      <c r="E1462" s="26"/>
      <c r="F1462" s="25">
        <f>E1462*D1462</f>
        <v>0</v>
      </c>
    </row>
    <row r="1463" spans="2:6" ht="16">
      <c r="B1463" s="26"/>
      <c r="C1463" s="26"/>
      <c r="D1463" s="26"/>
      <c r="E1463" s="26"/>
      <c r="F1463" s="25">
        <f>E1463*D1463</f>
        <v>0</v>
      </c>
    </row>
    <row r="1464" spans="2:6" ht="16">
      <c r="B1464" s="30"/>
      <c r="C1464" s="26"/>
      <c r="D1464" s="26"/>
      <c r="E1464" s="26"/>
      <c r="F1464" s="25">
        <f>E1464*D1464</f>
        <v>0</v>
      </c>
    </row>
    <row r="1465" spans="2:6" ht="16">
      <c r="B1465" s="8"/>
      <c r="C1465" s="8"/>
      <c r="D1465" s="8"/>
      <c r="E1465" s="8"/>
    </row>
    <row r="1466" spans="2:6" ht="14" thickBot="1">
      <c r="B1466" s="19" t="s">
        <v>33</v>
      </c>
      <c r="C1466" s="19"/>
      <c r="D1466" s="19"/>
      <c r="E1466" s="19"/>
      <c r="F1466" s="23">
        <f>SUM(F1460:F1465)</f>
        <v>40000</v>
      </c>
    </row>
    <row r="1467" spans="2:6" ht="16">
      <c r="B1467" s="8"/>
      <c r="C1467" s="8"/>
      <c r="D1467" s="8"/>
      <c r="E1467" s="8"/>
    </row>
    <row r="1468" spans="2:6" ht="17" thickBot="1">
      <c r="B1468" s="8"/>
      <c r="C1468" s="8"/>
      <c r="D1468" s="8"/>
      <c r="E1468" s="8"/>
    </row>
    <row r="1469" spans="2:6" ht="17" thickBot="1">
      <c r="B1469" s="31" t="s">
        <v>34</v>
      </c>
      <c r="C1469" s="13"/>
      <c r="D1469" s="13"/>
      <c r="E1469" s="13"/>
      <c r="F1469" s="32">
        <f>F1446+F1456+F1466</f>
        <v>529352</v>
      </c>
    </row>
    <row r="1470" spans="2:6" ht="17" thickBot="1">
      <c r="B1470" s="31" t="s">
        <v>35</v>
      </c>
      <c r="C1470" s="13"/>
      <c r="D1470" s="13"/>
      <c r="E1470" s="33">
        <v>0.1</v>
      </c>
      <c r="F1470" s="32">
        <f>F1469*E1470</f>
        <v>52935.200000000004</v>
      </c>
    </row>
    <row r="1471" spans="2:6" ht="17" thickBot="1">
      <c r="B1471" s="31" t="s">
        <v>36</v>
      </c>
      <c r="C1471" s="13"/>
      <c r="D1471" s="13"/>
      <c r="E1471" s="33">
        <v>0.1</v>
      </c>
      <c r="F1471" s="32">
        <f>F1469*E1471</f>
        <v>52935.200000000004</v>
      </c>
    </row>
    <row r="1472" spans="2:6" ht="17" thickBot="1">
      <c r="B1472" s="34" t="s">
        <v>37</v>
      </c>
      <c r="C1472" s="35"/>
      <c r="D1472" s="35"/>
      <c r="E1472" s="35"/>
      <c r="F1472" s="32">
        <f>SUM(F1469:F1471)</f>
        <v>635222.39999999991</v>
      </c>
    </row>
    <row r="1473" spans="2:6" ht="17" thickBot="1">
      <c r="B1473" s="36"/>
      <c r="C1473" s="8"/>
      <c r="D1473" s="8"/>
      <c r="E1473" s="8"/>
    </row>
    <row r="1474" spans="2:6" ht="18" thickTop="1" thickBot="1">
      <c r="B1474" s="37" t="s">
        <v>38</v>
      </c>
      <c r="C1474" s="8"/>
      <c r="D1474" s="8"/>
      <c r="E1474" s="8"/>
    </row>
    <row r="1475" spans="2:6" ht="18" thickTop="1" thickBot="1">
      <c r="B1475" s="8"/>
      <c r="C1475" s="8"/>
      <c r="D1475" s="8"/>
      <c r="E1475" s="8"/>
    </row>
    <row r="1476" spans="2:6" ht="17" thickTop="1">
      <c r="B1476" s="38"/>
      <c r="C1476" s="13"/>
      <c r="D1476" s="13"/>
      <c r="E1476" s="39"/>
      <c r="F1476" s="40"/>
    </row>
    <row r="1477" spans="2:6" ht="16">
      <c r="B1477" s="38"/>
      <c r="C1477" s="13"/>
      <c r="D1477" s="13"/>
      <c r="E1477" s="41"/>
      <c r="F1477" s="42"/>
    </row>
    <row r="1478" spans="2:6" ht="16">
      <c r="B1478" s="38"/>
      <c r="C1478" s="13"/>
      <c r="D1478" s="13"/>
      <c r="E1478" s="41"/>
      <c r="F1478" s="42"/>
    </row>
    <row r="1479" spans="2:6" ht="17" thickBot="1">
      <c r="B1479" s="54"/>
      <c r="C1479" s="35"/>
      <c r="D1479" s="35"/>
      <c r="E1479" s="44"/>
      <c r="F1479" s="45"/>
    </row>
    <row r="1480" spans="2:6" ht="17" thickTop="1">
      <c r="B1480" s="46"/>
      <c r="C1480" s="46"/>
      <c r="D1480" s="46"/>
      <c r="E1480" s="47"/>
      <c r="F1480" s="47"/>
    </row>
    <row r="1481" spans="2:6" ht="14" thickBot="1">
      <c r="B1481" s="1" t="s">
        <v>0</v>
      </c>
      <c r="C1481" s="1"/>
    </row>
    <row r="1482" spans="2:6" ht="17" thickBot="1">
      <c r="B1482" s="1" t="s">
        <v>1</v>
      </c>
      <c r="C1482" s="1"/>
      <c r="E1482" s="4" t="s">
        <v>2</v>
      </c>
      <c r="F1482" s="5"/>
    </row>
    <row r="1484" spans="2:6">
      <c r="B1484" s="6"/>
    </row>
    <row r="1485" spans="2:6" ht="16">
      <c r="B1485" s="7" t="s">
        <v>3</v>
      </c>
      <c r="C1485" s="7"/>
      <c r="D1485" s="7"/>
      <c r="E1485" s="7"/>
      <c r="F1485" s="7"/>
    </row>
    <row r="1486" spans="2:6" ht="16">
      <c r="B1486" s="8"/>
      <c r="C1486" s="8"/>
      <c r="D1486" s="8"/>
      <c r="E1486" s="8"/>
    </row>
    <row r="1487" spans="2:6" ht="16">
      <c r="B1487" s="9" t="s">
        <v>4</v>
      </c>
      <c r="C1487" s="13" t="str">
        <f>C1429</f>
        <v>MEJORAMIENTO ESPACIO PUBLICO JJVV LUCILA GODOY ALCAYAGA</v>
      </c>
      <c r="D1487" s="13"/>
      <c r="E1487" s="13"/>
      <c r="F1487" s="14"/>
    </row>
    <row r="1488" spans="2:6" ht="16">
      <c r="B1488" s="12"/>
      <c r="C1488" s="8"/>
      <c r="D1488" s="8"/>
      <c r="E1488" s="8"/>
    </row>
    <row r="1489" spans="2:6" ht="16">
      <c r="B1489" s="9" t="s">
        <v>5</v>
      </c>
      <c r="C1489" s="13" t="s">
        <v>6</v>
      </c>
      <c r="D1489" s="13"/>
      <c r="E1489" s="13"/>
      <c r="F1489" s="14"/>
    </row>
    <row r="1490" spans="2:6" ht="16">
      <c r="B1490" s="9"/>
      <c r="C1490" s="13"/>
      <c r="D1490" s="13"/>
      <c r="E1490" s="13"/>
      <c r="F1490" s="14"/>
    </row>
    <row r="1491" spans="2:6" ht="16">
      <c r="B1491" s="9" t="s">
        <v>7</v>
      </c>
      <c r="C1491" s="13" t="str">
        <f>[1]LGA!A43</f>
        <v>2.4.1</v>
      </c>
      <c r="D1491" s="13"/>
      <c r="E1491" s="13"/>
      <c r="F1491" s="14"/>
    </row>
    <row r="1492" spans="2:6" ht="16">
      <c r="B1492" s="9" t="s">
        <v>8</v>
      </c>
      <c r="C1492" s="13" t="s">
        <v>147</v>
      </c>
      <c r="D1492" s="13"/>
      <c r="E1492" s="13"/>
      <c r="F1492" s="14"/>
    </row>
    <row r="1493" spans="2:6" ht="16">
      <c r="B1493" s="9" t="s">
        <v>10</v>
      </c>
      <c r="C1493" s="13" t="s">
        <v>148</v>
      </c>
      <c r="D1493" s="13"/>
      <c r="E1493" s="13"/>
      <c r="F1493" s="14"/>
    </row>
    <row r="1494" spans="2:6" ht="16">
      <c r="B1494" s="9" t="s">
        <v>12</v>
      </c>
      <c r="C1494" s="15">
        <f>C1436</f>
        <v>46024</v>
      </c>
      <c r="D1494" s="13"/>
      <c r="E1494" s="13"/>
      <c r="F1494" s="14"/>
    </row>
    <row r="1495" spans="2:6" ht="17" thickBot="1">
      <c r="B1495" s="8"/>
      <c r="C1495" s="8"/>
      <c r="D1495" s="8"/>
      <c r="E1495" s="8"/>
    </row>
    <row r="1496" spans="2:6" ht="15" thickTop="1" thickBot="1">
      <c r="B1496" s="16" t="s">
        <v>13</v>
      </c>
      <c r="C1496" s="17" t="s">
        <v>14</v>
      </c>
      <c r="D1496" s="17" t="s">
        <v>15</v>
      </c>
      <c r="E1496" s="17" t="s">
        <v>16</v>
      </c>
      <c r="F1496" s="18" t="s">
        <v>17</v>
      </c>
    </row>
    <row r="1497" spans="2:6" ht="14" thickTop="1">
      <c r="B1497" s="19"/>
      <c r="C1497" s="19"/>
      <c r="D1497" s="19"/>
      <c r="E1497" s="19"/>
      <c r="F1497" s="19"/>
    </row>
    <row r="1498" spans="2:6">
      <c r="B1498" s="20" t="s">
        <v>149</v>
      </c>
      <c r="C1498" s="21" t="s">
        <v>43</v>
      </c>
      <c r="D1498" s="21">
        <v>1</v>
      </c>
      <c r="E1498" s="22">
        <v>5200</v>
      </c>
      <c r="F1498" s="22">
        <f t="shared" ref="F1498:F1503" si="23">E1498*D1498</f>
        <v>5200</v>
      </c>
    </row>
    <row r="1499" spans="2:6">
      <c r="B1499" s="20" t="s">
        <v>150</v>
      </c>
      <c r="C1499" s="21" t="s">
        <v>43</v>
      </c>
      <c r="D1499" s="21">
        <v>1</v>
      </c>
      <c r="E1499" s="22">
        <v>4500</v>
      </c>
      <c r="F1499" s="22">
        <f t="shared" si="23"/>
        <v>4500</v>
      </c>
    </row>
    <row r="1500" spans="2:6">
      <c r="B1500" s="20" t="s">
        <v>151</v>
      </c>
      <c r="C1500" s="21" t="s">
        <v>43</v>
      </c>
      <c r="D1500" s="21">
        <v>1</v>
      </c>
      <c r="E1500" s="22">
        <v>15000</v>
      </c>
      <c r="F1500" s="22">
        <f t="shared" si="23"/>
        <v>15000</v>
      </c>
    </row>
    <row r="1501" spans="2:6">
      <c r="B1501" s="20" t="s">
        <v>152</v>
      </c>
      <c r="C1501" s="21" t="s">
        <v>43</v>
      </c>
      <c r="D1501" s="21">
        <v>1</v>
      </c>
      <c r="E1501" s="22">
        <v>3200</v>
      </c>
      <c r="F1501" s="22">
        <f t="shared" si="23"/>
        <v>3200</v>
      </c>
    </row>
    <row r="1502" spans="2:6">
      <c r="B1502" s="20"/>
      <c r="C1502" s="21"/>
      <c r="D1502" s="21"/>
      <c r="E1502" s="22"/>
      <c r="F1502" s="22">
        <f t="shared" si="23"/>
        <v>0</v>
      </c>
    </row>
    <row r="1503" spans="2:6">
      <c r="B1503" s="20"/>
      <c r="C1503" s="21"/>
      <c r="D1503" s="21"/>
      <c r="E1503" s="22"/>
      <c r="F1503" s="22">
        <f t="shared" si="23"/>
        <v>0</v>
      </c>
    </row>
    <row r="1504" spans="2:6" ht="17" thickBot="1">
      <c r="B1504" s="6" t="s">
        <v>19</v>
      </c>
      <c r="C1504" s="8"/>
      <c r="D1504" s="8"/>
      <c r="E1504" s="8"/>
      <c r="F1504" s="23">
        <f>SUM(F1498:F1503)</f>
        <v>27900</v>
      </c>
    </row>
    <row r="1505" spans="2:6" ht="17" thickBot="1">
      <c r="B1505" s="8"/>
      <c r="C1505" s="8"/>
      <c r="D1505" s="8"/>
      <c r="E1505" s="8"/>
    </row>
    <row r="1506" spans="2:6" ht="15" thickTop="1" thickBot="1">
      <c r="B1506" s="16" t="s">
        <v>20</v>
      </c>
      <c r="C1506" s="17" t="s">
        <v>14</v>
      </c>
      <c r="D1506" s="17" t="s">
        <v>15</v>
      </c>
      <c r="E1506" s="17" t="s">
        <v>16</v>
      </c>
      <c r="F1506" s="18" t="s">
        <v>17</v>
      </c>
    </row>
    <row r="1507" spans="2:6" ht="17" thickTop="1">
      <c r="B1507" s="8"/>
      <c r="C1507" s="8"/>
      <c r="D1507" s="8"/>
      <c r="E1507" s="8"/>
    </row>
    <row r="1508" spans="2:6">
      <c r="B1508" s="24" t="s">
        <v>21</v>
      </c>
      <c r="C1508" s="20" t="s">
        <v>22</v>
      </c>
      <c r="D1508" s="20">
        <v>0.1</v>
      </c>
      <c r="E1508" s="22">
        <v>27500</v>
      </c>
      <c r="F1508" s="25">
        <f>E1508*D1508</f>
        <v>2750</v>
      </c>
    </row>
    <row r="1509" spans="2:6">
      <c r="B1509" s="20" t="s">
        <v>23</v>
      </c>
      <c r="C1509" s="20" t="s">
        <v>22</v>
      </c>
      <c r="D1509" s="20">
        <v>0.1</v>
      </c>
      <c r="E1509" s="22">
        <v>15000</v>
      </c>
      <c r="F1509" s="25">
        <f>E1509*D1509</f>
        <v>1500</v>
      </c>
    </row>
    <row r="1510" spans="2:6" ht="16">
      <c r="B1510" s="26"/>
      <c r="C1510" s="26"/>
      <c r="D1510" s="26"/>
      <c r="E1510" s="26"/>
      <c r="F1510" s="25">
        <f>E1510*D1510</f>
        <v>0</v>
      </c>
    </row>
    <row r="1511" spans="2:6" ht="16">
      <c r="B1511" s="26"/>
      <c r="C1511" s="26"/>
      <c r="D1511" s="26"/>
      <c r="E1511" s="26"/>
      <c r="F1511" s="25">
        <f>E1511*D1511</f>
        <v>0</v>
      </c>
    </row>
    <row r="1512" spans="2:6" ht="16">
      <c r="B1512" s="27" t="s">
        <v>25</v>
      </c>
      <c r="C1512" s="27" t="s">
        <v>26</v>
      </c>
      <c r="D1512" s="28">
        <v>0.32</v>
      </c>
      <c r="E1512" s="29">
        <f>SUM(E1508:E1511)*D1512</f>
        <v>13600</v>
      </c>
      <c r="F1512" s="25">
        <f>SUM(F1508:F1510)*D1512</f>
        <v>1360</v>
      </c>
    </row>
    <row r="1513" spans="2:6" ht="16">
      <c r="B1513" s="8"/>
      <c r="C1513" s="8"/>
      <c r="D1513" s="8"/>
      <c r="E1513" s="8"/>
    </row>
    <row r="1514" spans="2:6" ht="17" thickBot="1">
      <c r="B1514" s="6" t="s">
        <v>27</v>
      </c>
      <c r="C1514" s="8"/>
      <c r="D1514" s="8"/>
      <c r="E1514" s="8"/>
      <c r="F1514" s="23">
        <f>SUM(F1508:F1513)</f>
        <v>5610</v>
      </c>
    </row>
    <row r="1515" spans="2:6" ht="17" thickBot="1">
      <c r="B1515" s="8"/>
      <c r="C1515" s="8"/>
      <c r="D1515" s="8"/>
      <c r="E1515" s="8"/>
    </row>
    <row r="1516" spans="2:6" ht="15" thickTop="1" thickBot="1">
      <c r="B1516" s="16" t="s">
        <v>28</v>
      </c>
      <c r="C1516" s="17" t="s">
        <v>14</v>
      </c>
      <c r="D1516" s="17" t="s">
        <v>15</v>
      </c>
      <c r="E1516" s="17" t="s">
        <v>16</v>
      </c>
      <c r="F1516" s="18" t="s">
        <v>17</v>
      </c>
    </row>
    <row r="1517" spans="2:6" ht="17" thickTop="1">
      <c r="B1517" s="8"/>
      <c r="C1517" s="8"/>
      <c r="D1517" s="8"/>
      <c r="E1517" s="8"/>
    </row>
    <row r="1518" spans="2:6">
      <c r="B1518" s="20" t="s">
        <v>105</v>
      </c>
      <c r="C1518" s="20" t="s">
        <v>32</v>
      </c>
      <c r="D1518" s="68">
        <v>1</v>
      </c>
      <c r="E1518" s="22">
        <v>25000</v>
      </c>
      <c r="F1518" s="25">
        <f>E1518*D1518</f>
        <v>25000</v>
      </c>
    </row>
    <row r="1519" spans="2:6">
      <c r="B1519" s="20" t="s">
        <v>31</v>
      </c>
      <c r="C1519" s="20" t="s">
        <v>32</v>
      </c>
      <c r="D1519" s="68">
        <v>0.2596</v>
      </c>
      <c r="E1519" s="22">
        <v>25000</v>
      </c>
      <c r="F1519" s="25">
        <f>E1519*D1519</f>
        <v>6490</v>
      </c>
    </row>
    <row r="1520" spans="2:6" ht="16">
      <c r="B1520" s="26"/>
      <c r="C1520" s="26"/>
      <c r="D1520" s="26"/>
      <c r="E1520" s="26"/>
      <c r="F1520" s="25">
        <f>E1520*D1520</f>
        <v>0</v>
      </c>
    </row>
    <row r="1521" spans="2:6" ht="16">
      <c r="B1521" s="26"/>
      <c r="C1521" s="26"/>
      <c r="D1521" s="26"/>
      <c r="E1521" s="26"/>
      <c r="F1521" s="25">
        <f>E1521*D1521</f>
        <v>0</v>
      </c>
    </row>
    <row r="1522" spans="2:6" ht="16">
      <c r="B1522" s="30"/>
      <c r="C1522" s="26"/>
      <c r="D1522" s="26"/>
      <c r="E1522" s="26"/>
      <c r="F1522" s="25">
        <f>E1522*D1522</f>
        <v>0</v>
      </c>
    </row>
    <row r="1523" spans="2:6" ht="16">
      <c r="B1523" s="8"/>
      <c r="C1523" s="8"/>
      <c r="D1523" s="8"/>
      <c r="E1523" s="8"/>
    </row>
    <row r="1524" spans="2:6" ht="14" thickBot="1">
      <c r="B1524" s="19" t="s">
        <v>33</v>
      </c>
      <c r="C1524" s="19"/>
      <c r="D1524" s="19"/>
      <c r="E1524" s="19"/>
      <c r="F1524" s="23">
        <f>SUM(F1518:F1523)</f>
        <v>31490</v>
      </c>
    </row>
    <row r="1525" spans="2:6" ht="16">
      <c r="B1525" s="8"/>
      <c r="C1525" s="8"/>
      <c r="D1525" s="8"/>
      <c r="E1525" s="8"/>
    </row>
    <row r="1526" spans="2:6" ht="17" thickBot="1">
      <c r="B1526" s="8"/>
      <c r="C1526" s="8"/>
      <c r="D1526" s="8"/>
      <c r="E1526" s="8"/>
    </row>
    <row r="1527" spans="2:6" ht="17" thickBot="1">
      <c r="B1527" s="31" t="s">
        <v>34</v>
      </c>
      <c r="C1527" s="13"/>
      <c r="D1527" s="13"/>
      <c r="E1527" s="13"/>
      <c r="F1527" s="32">
        <f>F1504+F1514+F1524</f>
        <v>65000</v>
      </c>
    </row>
    <row r="1528" spans="2:6" ht="17" thickBot="1">
      <c r="B1528" s="31" t="s">
        <v>35</v>
      </c>
      <c r="C1528" s="13"/>
      <c r="D1528" s="13"/>
      <c r="E1528" s="33">
        <v>0.1</v>
      </c>
      <c r="F1528" s="32">
        <f>F1527*E1528</f>
        <v>6500</v>
      </c>
    </row>
    <row r="1529" spans="2:6" ht="17" thickBot="1">
      <c r="B1529" s="31" t="s">
        <v>36</v>
      </c>
      <c r="C1529" s="13"/>
      <c r="D1529" s="13"/>
      <c r="E1529" s="33">
        <v>0.1</v>
      </c>
      <c r="F1529" s="32">
        <f>F1527*E1529</f>
        <v>6500</v>
      </c>
    </row>
    <row r="1530" spans="2:6" ht="17" thickBot="1">
      <c r="B1530" s="34" t="s">
        <v>37</v>
      </c>
      <c r="C1530" s="35"/>
      <c r="D1530" s="35"/>
      <c r="E1530" s="35"/>
      <c r="F1530" s="32">
        <f>SUM(F1527:F1529)</f>
        <v>78000</v>
      </c>
    </row>
    <row r="1531" spans="2:6" ht="17" thickBot="1">
      <c r="B1531" s="36"/>
      <c r="C1531" s="8"/>
      <c r="D1531" s="8"/>
      <c r="E1531" s="8"/>
    </row>
    <row r="1532" spans="2:6" ht="18" thickTop="1" thickBot="1">
      <c r="B1532" s="37" t="s">
        <v>38</v>
      </c>
      <c r="C1532" s="8"/>
      <c r="D1532" s="8"/>
      <c r="E1532" s="8"/>
    </row>
    <row r="1533" spans="2:6" ht="18" thickTop="1" thickBot="1">
      <c r="B1533" s="8"/>
      <c r="C1533" s="8"/>
      <c r="D1533" s="8"/>
      <c r="E1533" s="8"/>
    </row>
    <row r="1534" spans="2:6" ht="17" thickTop="1">
      <c r="B1534" s="38"/>
      <c r="C1534" s="13"/>
      <c r="D1534" s="13"/>
      <c r="E1534" s="39"/>
      <c r="F1534" s="40"/>
    </row>
    <row r="1535" spans="2:6" ht="16">
      <c r="B1535" s="38"/>
      <c r="C1535" s="13"/>
      <c r="D1535" s="13"/>
      <c r="E1535" s="41"/>
      <c r="F1535" s="42"/>
    </row>
    <row r="1536" spans="2:6" ht="16">
      <c r="B1536" s="38"/>
      <c r="C1536" s="13"/>
      <c r="D1536" s="13"/>
      <c r="E1536" s="41"/>
      <c r="F1536" s="42"/>
    </row>
    <row r="1537" spans="2:6" ht="17" thickBot="1">
      <c r="B1537" s="54"/>
      <c r="C1537" s="35"/>
      <c r="D1537" s="35"/>
      <c r="E1537" s="44"/>
      <c r="F1537" s="45"/>
    </row>
    <row r="1538" spans="2:6" ht="17" thickTop="1">
      <c r="B1538" s="46"/>
      <c r="C1538" s="46"/>
      <c r="D1538" s="46"/>
      <c r="E1538" s="47"/>
      <c r="F1538" s="47"/>
    </row>
    <row r="1539" spans="2:6" ht="14" thickBot="1">
      <c r="B1539" s="1" t="s">
        <v>0</v>
      </c>
      <c r="C1539" s="1"/>
    </row>
    <row r="1540" spans="2:6" ht="17" thickBot="1">
      <c r="B1540" s="1" t="s">
        <v>1</v>
      </c>
      <c r="C1540" s="1"/>
      <c r="E1540" s="4" t="s">
        <v>2</v>
      </c>
      <c r="F1540" s="5"/>
    </row>
    <row r="1541" spans="2:6">
      <c r="B1541" s="6"/>
    </row>
    <row r="1542" spans="2:6" ht="16">
      <c r="B1542" s="7" t="s">
        <v>3</v>
      </c>
      <c r="C1542" s="7"/>
      <c r="D1542" s="7"/>
      <c r="E1542" s="7"/>
      <c r="F1542" s="7"/>
    </row>
    <row r="1543" spans="2:6" ht="16">
      <c r="B1543" s="8"/>
      <c r="C1543" s="8"/>
      <c r="D1543" s="8"/>
      <c r="E1543" s="8"/>
    </row>
    <row r="1544" spans="2:6" ht="16">
      <c r="B1544" s="9" t="s">
        <v>4</v>
      </c>
      <c r="C1544" s="13" t="str">
        <f>C1487</f>
        <v>MEJORAMIENTO ESPACIO PUBLICO JJVV LUCILA GODOY ALCAYAGA</v>
      </c>
      <c r="D1544" s="13"/>
      <c r="E1544" s="13"/>
      <c r="F1544" s="14"/>
    </row>
    <row r="1545" spans="2:6" ht="16">
      <c r="B1545" s="12"/>
      <c r="C1545" s="8"/>
      <c r="D1545" s="8"/>
      <c r="E1545" s="8"/>
    </row>
    <row r="1546" spans="2:6" ht="16">
      <c r="B1546" s="9" t="s">
        <v>5</v>
      </c>
      <c r="C1546" s="13" t="s">
        <v>6</v>
      </c>
      <c r="D1546" s="13"/>
      <c r="E1546" s="13"/>
      <c r="F1546" s="14"/>
    </row>
    <row r="1547" spans="2:6" ht="16">
      <c r="B1547" s="9"/>
      <c r="C1547" s="13"/>
      <c r="D1547" s="13"/>
      <c r="E1547" s="13"/>
      <c r="F1547" s="14"/>
    </row>
    <row r="1548" spans="2:6" ht="16">
      <c r="B1548" s="9" t="s">
        <v>7</v>
      </c>
      <c r="C1548" s="13" t="str">
        <f>[1]LGA!A44</f>
        <v>2.4.2</v>
      </c>
      <c r="D1548" s="13"/>
      <c r="E1548" s="13"/>
      <c r="F1548" s="14"/>
    </row>
    <row r="1549" spans="2:6" ht="16">
      <c r="B1549" s="9" t="s">
        <v>8</v>
      </c>
      <c r="C1549" s="13" t="s">
        <v>153</v>
      </c>
      <c r="D1549" s="13"/>
      <c r="E1549" s="13"/>
      <c r="F1549" s="14"/>
    </row>
    <row r="1550" spans="2:6" ht="16">
      <c r="B1550" s="9" t="s">
        <v>10</v>
      </c>
      <c r="C1550" s="13" t="s">
        <v>154</v>
      </c>
      <c r="D1550" s="13"/>
      <c r="E1550" s="13"/>
      <c r="F1550" s="14"/>
    </row>
    <row r="1551" spans="2:6" ht="16">
      <c r="B1551" s="9" t="s">
        <v>12</v>
      </c>
      <c r="C1551" s="15">
        <f>C1494</f>
        <v>46024</v>
      </c>
      <c r="D1551" s="13"/>
      <c r="E1551" s="13"/>
      <c r="F1551" s="14"/>
    </row>
    <row r="1552" spans="2:6" ht="17" thickBot="1">
      <c r="B1552" s="8"/>
      <c r="C1552" s="8"/>
      <c r="D1552" s="8"/>
      <c r="E1552" s="8"/>
    </row>
    <row r="1553" spans="2:6" ht="15" thickTop="1" thickBot="1">
      <c r="B1553" s="16" t="s">
        <v>13</v>
      </c>
      <c r="C1553" s="17" t="s">
        <v>14</v>
      </c>
      <c r="D1553" s="17" t="s">
        <v>15</v>
      </c>
      <c r="E1553" s="17" t="s">
        <v>16</v>
      </c>
      <c r="F1553" s="18" t="s">
        <v>17</v>
      </c>
    </row>
    <row r="1554" spans="2:6" ht="14" thickTop="1">
      <c r="B1554" s="19"/>
      <c r="C1554" s="19"/>
      <c r="D1554" s="19"/>
      <c r="E1554" s="19"/>
      <c r="F1554" s="19"/>
    </row>
    <row r="1555" spans="2:6">
      <c r="B1555" s="20" t="s">
        <v>155</v>
      </c>
      <c r="C1555" s="21" t="s">
        <v>156</v>
      </c>
      <c r="D1555" s="21">
        <v>0.41</v>
      </c>
      <c r="E1555" s="22">
        <v>20000</v>
      </c>
      <c r="F1555" s="22">
        <f t="shared" ref="F1555:F1560" si="24">E1555*D1555</f>
        <v>8200</v>
      </c>
    </row>
    <row r="1556" spans="2:6">
      <c r="B1556" s="20" t="s">
        <v>157</v>
      </c>
      <c r="C1556" s="21" t="s">
        <v>43</v>
      </c>
      <c r="D1556" s="21">
        <v>7.0000000000000007E-2</v>
      </c>
      <c r="E1556" s="22">
        <v>3500</v>
      </c>
      <c r="F1556" s="22">
        <f t="shared" si="24"/>
        <v>245.00000000000003</v>
      </c>
    </row>
    <row r="1557" spans="2:6">
      <c r="B1557" s="20" t="s">
        <v>158</v>
      </c>
      <c r="C1557" s="21" t="s">
        <v>159</v>
      </c>
      <c r="D1557" s="21">
        <v>7.0000000000000007E-2</v>
      </c>
      <c r="E1557" s="22">
        <v>2300</v>
      </c>
      <c r="F1557" s="22">
        <f t="shared" si="24"/>
        <v>161.00000000000003</v>
      </c>
    </row>
    <row r="1558" spans="2:6">
      <c r="B1558" s="20" t="s">
        <v>160</v>
      </c>
      <c r="C1558" s="21" t="s">
        <v>159</v>
      </c>
      <c r="D1558" s="21">
        <v>7.0000000000000007E-2</v>
      </c>
      <c r="E1558" s="22">
        <v>6300</v>
      </c>
      <c r="F1558" s="22">
        <f t="shared" si="24"/>
        <v>441.00000000000006</v>
      </c>
    </row>
    <row r="1559" spans="2:6">
      <c r="B1559" s="20"/>
      <c r="C1559" s="21"/>
      <c r="D1559" s="21"/>
      <c r="E1559" s="22"/>
      <c r="F1559" s="22">
        <f t="shared" si="24"/>
        <v>0</v>
      </c>
    </row>
    <row r="1560" spans="2:6">
      <c r="B1560" s="20"/>
      <c r="C1560" s="21"/>
      <c r="D1560" s="21"/>
      <c r="E1560" s="22"/>
      <c r="F1560" s="22">
        <f t="shared" si="24"/>
        <v>0</v>
      </c>
    </row>
    <row r="1561" spans="2:6" ht="17" thickBot="1">
      <c r="B1561" s="6" t="s">
        <v>19</v>
      </c>
      <c r="C1561" s="8"/>
      <c r="D1561" s="8"/>
      <c r="E1561" s="8"/>
      <c r="F1561" s="23">
        <f>SUM(F1555:F1560)</f>
        <v>9047</v>
      </c>
    </row>
    <row r="1562" spans="2:6" ht="17" thickBot="1">
      <c r="B1562" s="8"/>
      <c r="C1562" s="8"/>
      <c r="D1562" s="8"/>
      <c r="E1562" s="8"/>
    </row>
    <row r="1563" spans="2:6" ht="15" thickTop="1" thickBot="1">
      <c r="B1563" s="16" t="s">
        <v>20</v>
      </c>
      <c r="C1563" s="17" t="s">
        <v>14</v>
      </c>
      <c r="D1563" s="17" t="s">
        <v>15</v>
      </c>
      <c r="E1563" s="17" t="s">
        <v>16</v>
      </c>
      <c r="F1563" s="18" t="s">
        <v>17</v>
      </c>
    </row>
    <row r="1564" spans="2:6" ht="17" thickTop="1">
      <c r="B1564" s="8"/>
      <c r="C1564" s="8"/>
      <c r="D1564" s="8"/>
      <c r="E1564" s="8"/>
    </row>
    <row r="1565" spans="2:6">
      <c r="B1565" s="24" t="s">
        <v>21</v>
      </c>
      <c r="C1565" s="20" t="s">
        <v>22</v>
      </c>
      <c r="D1565" s="20">
        <v>4.3999999999999997E-2</v>
      </c>
      <c r="E1565" s="22">
        <v>27500</v>
      </c>
      <c r="F1565" s="25">
        <f>E1565*D1565</f>
        <v>1210</v>
      </c>
    </row>
    <row r="1566" spans="2:6">
      <c r="B1566" s="20" t="s">
        <v>23</v>
      </c>
      <c r="C1566" s="20" t="s">
        <v>22</v>
      </c>
      <c r="D1566" s="20">
        <v>4.3999999999999997E-2</v>
      </c>
      <c r="E1566" s="22">
        <v>15000</v>
      </c>
      <c r="F1566" s="25">
        <f>E1566*D1566</f>
        <v>660</v>
      </c>
    </row>
    <row r="1567" spans="2:6" ht="16">
      <c r="B1567" s="26"/>
      <c r="C1567" s="26"/>
      <c r="D1567" s="26"/>
      <c r="E1567" s="26"/>
      <c r="F1567" s="25">
        <f>E1567*D1567</f>
        <v>0</v>
      </c>
    </row>
    <row r="1568" spans="2:6" ht="16">
      <c r="B1568" s="26"/>
      <c r="C1568" s="26"/>
      <c r="D1568" s="26"/>
      <c r="E1568" s="26"/>
      <c r="F1568" s="25">
        <f>E1568*D1568</f>
        <v>0</v>
      </c>
    </row>
    <row r="1569" spans="2:6" ht="16">
      <c r="B1569" s="27" t="s">
        <v>25</v>
      </c>
      <c r="C1569" s="27" t="s">
        <v>26</v>
      </c>
      <c r="D1569" s="28">
        <v>0.32</v>
      </c>
      <c r="E1569" s="29">
        <f>SUM(E1565:E1568)*D1569</f>
        <v>13600</v>
      </c>
      <c r="F1569" s="25">
        <f>E1569*D1569</f>
        <v>4352</v>
      </c>
    </row>
    <row r="1570" spans="2:6" ht="16">
      <c r="B1570" s="8"/>
      <c r="C1570" s="8"/>
      <c r="D1570" s="8"/>
      <c r="E1570" s="8"/>
    </row>
    <row r="1571" spans="2:6" ht="17" thickBot="1">
      <c r="B1571" s="6" t="s">
        <v>27</v>
      </c>
      <c r="C1571" s="8"/>
      <c r="D1571" s="8"/>
      <c r="E1571" s="8"/>
      <c r="F1571" s="23">
        <f>SUM(F1565:F1570)</f>
        <v>6222</v>
      </c>
    </row>
    <row r="1572" spans="2:6" ht="17" thickBot="1">
      <c r="B1572" s="8"/>
      <c r="C1572" s="8"/>
      <c r="D1572" s="8"/>
      <c r="E1572" s="8"/>
    </row>
    <row r="1573" spans="2:6" ht="15" thickTop="1" thickBot="1">
      <c r="B1573" s="16" t="s">
        <v>28</v>
      </c>
      <c r="C1573" s="17" t="s">
        <v>14</v>
      </c>
      <c r="D1573" s="17" t="s">
        <v>15</v>
      </c>
      <c r="E1573" s="17" t="s">
        <v>16</v>
      </c>
      <c r="F1573" s="18" t="s">
        <v>17</v>
      </c>
    </row>
    <row r="1574" spans="2:6" ht="17" thickTop="1">
      <c r="B1574" s="8"/>
      <c r="C1574" s="8"/>
      <c r="D1574" s="8"/>
      <c r="E1574" s="8"/>
    </row>
    <row r="1575" spans="2:6">
      <c r="B1575" s="20" t="s">
        <v>82</v>
      </c>
      <c r="C1575" s="20" t="s">
        <v>30</v>
      </c>
      <c r="D1575" s="68">
        <v>1.9900000000000001E-2</v>
      </c>
      <c r="E1575" s="22">
        <v>25000</v>
      </c>
      <c r="F1575" s="25">
        <f>E1575*D1575</f>
        <v>497.5</v>
      </c>
    </row>
    <row r="1576" spans="2:6">
      <c r="B1576" s="20" t="s">
        <v>31</v>
      </c>
      <c r="C1576" s="20" t="s">
        <v>32</v>
      </c>
      <c r="D1576" s="68">
        <v>1.9900000000000001E-2</v>
      </c>
      <c r="E1576" s="22">
        <v>25000</v>
      </c>
      <c r="F1576" s="25">
        <f>E1576*D1576</f>
        <v>497.5</v>
      </c>
    </row>
    <row r="1577" spans="2:6" ht="16">
      <c r="B1577" s="26"/>
      <c r="C1577" s="26"/>
      <c r="D1577" s="26"/>
      <c r="E1577" s="26"/>
      <c r="F1577" s="25">
        <f>E1577*D1577</f>
        <v>0</v>
      </c>
    </row>
    <row r="1578" spans="2:6" ht="16">
      <c r="B1578" s="26"/>
      <c r="C1578" s="26"/>
      <c r="D1578" s="26"/>
      <c r="E1578" s="26"/>
      <c r="F1578" s="25">
        <f>E1578*D1578</f>
        <v>0</v>
      </c>
    </row>
    <row r="1579" spans="2:6" ht="16">
      <c r="B1579" s="30"/>
      <c r="C1579" s="26"/>
      <c r="D1579" s="26"/>
      <c r="E1579" s="26"/>
      <c r="F1579" s="25">
        <f>E1579*D1579</f>
        <v>0</v>
      </c>
    </row>
    <row r="1580" spans="2:6" ht="16">
      <c r="B1580" s="8"/>
      <c r="C1580" s="8"/>
      <c r="D1580" s="8"/>
      <c r="E1580" s="8"/>
    </row>
    <row r="1581" spans="2:6" ht="14" thickBot="1">
      <c r="B1581" s="19" t="s">
        <v>33</v>
      </c>
      <c r="C1581" s="19"/>
      <c r="D1581" s="19"/>
      <c r="E1581" s="19"/>
      <c r="F1581" s="23">
        <f>SUM(F1575:F1580)</f>
        <v>995</v>
      </c>
    </row>
    <row r="1582" spans="2:6" ht="16">
      <c r="B1582" s="8"/>
      <c r="C1582" s="8"/>
      <c r="D1582" s="8"/>
      <c r="E1582" s="8"/>
    </row>
    <row r="1583" spans="2:6" ht="17" thickBot="1">
      <c r="B1583" s="8"/>
      <c r="C1583" s="8"/>
      <c r="D1583" s="8"/>
      <c r="E1583" s="8"/>
    </row>
    <row r="1584" spans="2:6" ht="17" thickBot="1">
      <c r="B1584" s="31" t="s">
        <v>34</v>
      </c>
      <c r="C1584" s="13"/>
      <c r="D1584" s="13"/>
      <c r="E1584" s="13"/>
      <c r="F1584" s="32">
        <f>F1561+F1571+F1581</f>
        <v>16264</v>
      </c>
    </row>
    <row r="1585" spans="2:6" ht="17" thickBot="1">
      <c r="B1585" s="31" t="s">
        <v>35</v>
      </c>
      <c r="C1585" s="13"/>
      <c r="D1585" s="13"/>
      <c r="E1585" s="33">
        <v>0.1</v>
      </c>
      <c r="F1585" s="32">
        <f>F1584*E1585</f>
        <v>1626.4</v>
      </c>
    </row>
    <row r="1586" spans="2:6" ht="17" thickBot="1">
      <c r="B1586" s="31" t="s">
        <v>36</v>
      </c>
      <c r="C1586" s="13"/>
      <c r="D1586" s="13"/>
      <c r="E1586" s="33">
        <v>0.1</v>
      </c>
      <c r="F1586" s="32">
        <f>F1584*E1586</f>
        <v>1626.4</v>
      </c>
    </row>
    <row r="1587" spans="2:6" ht="17" thickBot="1">
      <c r="B1587" s="34" t="s">
        <v>37</v>
      </c>
      <c r="C1587" s="35"/>
      <c r="D1587" s="35"/>
      <c r="E1587" s="35"/>
      <c r="F1587" s="32">
        <f>SUM(F1584:F1586)</f>
        <v>19516.800000000003</v>
      </c>
    </row>
    <row r="1588" spans="2:6" ht="17" thickBot="1">
      <c r="B1588" s="36"/>
      <c r="C1588" s="8"/>
      <c r="D1588" s="8"/>
      <c r="E1588" s="8"/>
    </row>
    <row r="1589" spans="2:6" ht="18" thickTop="1" thickBot="1">
      <c r="B1589" s="37" t="s">
        <v>38</v>
      </c>
      <c r="C1589" s="8"/>
      <c r="D1589" s="8"/>
      <c r="E1589" s="8"/>
    </row>
    <row r="1590" spans="2:6" ht="18" thickTop="1" thickBot="1">
      <c r="B1590" s="8"/>
      <c r="C1590" s="8"/>
      <c r="D1590" s="8"/>
      <c r="E1590" s="8"/>
    </row>
    <row r="1591" spans="2:6" ht="17" thickTop="1">
      <c r="B1591" s="38"/>
      <c r="C1591" s="13"/>
      <c r="D1591" s="13"/>
      <c r="E1591" s="39"/>
      <c r="F1591" s="40"/>
    </row>
    <row r="1592" spans="2:6" ht="16">
      <c r="B1592" s="38"/>
      <c r="C1592" s="13"/>
      <c r="D1592" s="13"/>
      <c r="E1592" s="41"/>
      <c r="F1592" s="42"/>
    </row>
    <row r="1593" spans="2:6" ht="16">
      <c r="B1593" s="38"/>
      <c r="C1593" s="13"/>
      <c r="D1593" s="13"/>
      <c r="E1593" s="41"/>
      <c r="F1593" s="42"/>
    </row>
    <row r="1594" spans="2:6" ht="17" thickBot="1">
      <c r="B1594" s="54"/>
      <c r="C1594" s="35"/>
      <c r="D1594" s="35"/>
      <c r="E1594" s="44"/>
      <c r="F1594" s="45"/>
    </row>
    <row r="1595" spans="2:6" ht="17" thickTop="1">
      <c r="B1595" s="46"/>
      <c r="C1595" s="46"/>
      <c r="D1595" s="46"/>
      <c r="E1595" s="47"/>
      <c r="F1595" s="47"/>
    </row>
    <row r="1596" spans="2:6" ht="14" thickBot="1">
      <c r="B1596" s="6" t="s">
        <v>0</v>
      </c>
      <c r="C1596" s="6"/>
    </row>
    <row r="1597" spans="2:6" ht="17" thickBot="1">
      <c r="B1597" s="1" t="s">
        <v>1</v>
      </c>
      <c r="C1597" s="1"/>
      <c r="E1597" s="4" t="s">
        <v>2</v>
      </c>
      <c r="F1597" s="5"/>
    </row>
    <row r="1598" spans="2:6">
      <c r="B1598" s="6"/>
    </row>
    <row r="1599" spans="2:6" ht="16">
      <c r="B1599" s="7" t="s">
        <v>3</v>
      </c>
      <c r="C1599" s="7"/>
      <c r="D1599" s="7"/>
      <c r="E1599" s="7"/>
      <c r="F1599" s="7"/>
    </row>
    <row r="1600" spans="2:6" ht="16">
      <c r="B1600" s="8"/>
      <c r="C1600" s="8"/>
      <c r="D1600" s="8"/>
      <c r="E1600" s="8"/>
    </row>
    <row r="1601" spans="2:6" ht="19" customHeight="1">
      <c r="B1601" s="9" t="s">
        <v>4</v>
      </c>
      <c r="C1601" s="10" t="str">
        <f>C1544</f>
        <v>MEJORAMIENTO ESPACIO PUBLICO JJVV LUCILA GODOY ALCAYAGA</v>
      </c>
      <c r="D1601" s="10"/>
      <c r="E1601" s="10"/>
      <c r="F1601" s="11"/>
    </row>
    <row r="1602" spans="2:6" ht="16">
      <c r="B1602" s="12"/>
      <c r="C1602" s="8"/>
      <c r="D1602" s="8"/>
      <c r="E1602" s="8"/>
    </row>
    <row r="1603" spans="2:6" ht="16">
      <c r="B1603" s="9" t="s">
        <v>5</v>
      </c>
      <c r="C1603" s="13" t="s">
        <v>6</v>
      </c>
      <c r="D1603" s="13"/>
      <c r="E1603" s="13"/>
      <c r="F1603" s="14"/>
    </row>
    <row r="1604" spans="2:6" ht="16">
      <c r="B1604" s="9"/>
      <c r="C1604" s="13"/>
      <c r="D1604" s="13"/>
      <c r="E1604" s="13"/>
      <c r="F1604" s="14"/>
    </row>
    <row r="1605" spans="2:6" ht="16">
      <c r="B1605" s="9" t="s">
        <v>7</v>
      </c>
      <c r="C1605" s="13" t="str">
        <f>[1]LGA!A46</f>
        <v>2.5.1</v>
      </c>
      <c r="D1605" s="13"/>
      <c r="E1605" s="13"/>
      <c r="F1605" s="14"/>
    </row>
    <row r="1606" spans="2:6" ht="16">
      <c r="B1606" s="9" t="s">
        <v>8</v>
      </c>
      <c r="C1606" s="13" t="s">
        <v>161</v>
      </c>
      <c r="D1606" s="13"/>
      <c r="E1606" s="13"/>
      <c r="F1606" s="14"/>
    </row>
    <row r="1607" spans="2:6" ht="16">
      <c r="B1607" s="9" t="s">
        <v>10</v>
      </c>
      <c r="C1607" s="13" t="s">
        <v>87</v>
      </c>
      <c r="D1607" s="13"/>
      <c r="E1607" s="13"/>
      <c r="F1607" s="14"/>
    </row>
    <row r="1608" spans="2:6" ht="16">
      <c r="B1608" s="9" t="s">
        <v>12</v>
      </c>
      <c r="C1608" s="15">
        <f>C1551</f>
        <v>46024</v>
      </c>
      <c r="D1608" s="13"/>
      <c r="E1608" s="13"/>
      <c r="F1608" s="14"/>
    </row>
    <row r="1609" spans="2:6" ht="17" thickBot="1">
      <c r="B1609" s="8"/>
      <c r="C1609" s="8"/>
      <c r="D1609" s="8"/>
      <c r="E1609" s="8"/>
    </row>
    <row r="1610" spans="2:6" ht="15" thickTop="1" thickBot="1">
      <c r="B1610" s="16" t="s">
        <v>13</v>
      </c>
      <c r="C1610" s="17" t="s">
        <v>14</v>
      </c>
      <c r="D1610" s="17" t="s">
        <v>15</v>
      </c>
      <c r="E1610" s="17" t="s">
        <v>16</v>
      </c>
      <c r="F1610" s="18" t="s">
        <v>17</v>
      </c>
    </row>
    <row r="1611" spans="2:6" ht="14" thickTop="1">
      <c r="B1611" s="19"/>
      <c r="C1611" s="19"/>
      <c r="D1611" s="19"/>
      <c r="E1611" s="19"/>
      <c r="F1611" s="19"/>
    </row>
    <row r="1612" spans="2:6">
      <c r="B1612" s="20"/>
      <c r="C1612" s="21"/>
      <c r="D1612" s="21"/>
      <c r="E1612" s="22"/>
      <c r="F1612" s="22">
        <f t="shared" ref="F1612:F1617" si="25">E1612*D1612</f>
        <v>0</v>
      </c>
    </row>
    <row r="1613" spans="2:6">
      <c r="B1613" s="20"/>
      <c r="C1613" s="21"/>
      <c r="D1613" s="21"/>
      <c r="E1613" s="22"/>
      <c r="F1613" s="22">
        <f t="shared" si="25"/>
        <v>0</v>
      </c>
    </row>
    <row r="1614" spans="2:6">
      <c r="B1614" s="20"/>
      <c r="C1614" s="21"/>
      <c r="D1614" s="21"/>
      <c r="E1614" s="22"/>
      <c r="F1614" s="22">
        <f t="shared" si="25"/>
        <v>0</v>
      </c>
    </row>
    <row r="1615" spans="2:6">
      <c r="B1615" s="20"/>
      <c r="C1615" s="21"/>
      <c r="D1615" s="21"/>
      <c r="E1615" s="22"/>
      <c r="F1615" s="22">
        <f t="shared" si="25"/>
        <v>0</v>
      </c>
    </row>
    <row r="1616" spans="2:6">
      <c r="B1616" s="20"/>
      <c r="C1616" s="21"/>
      <c r="D1616" s="21"/>
      <c r="E1616" s="22"/>
      <c r="F1616" s="22">
        <f t="shared" si="25"/>
        <v>0</v>
      </c>
    </row>
    <row r="1617" spans="2:6">
      <c r="B1617" s="20"/>
      <c r="C1617" s="21"/>
      <c r="D1617" s="21"/>
      <c r="E1617" s="22"/>
      <c r="F1617" s="22">
        <f t="shared" si="25"/>
        <v>0</v>
      </c>
    </row>
    <row r="1618" spans="2:6" ht="17" thickBot="1">
      <c r="B1618" s="6" t="s">
        <v>19</v>
      </c>
      <c r="C1618" s="8"/>
      <c r="D1618" s="8"/>
      <c r="E1618" s="8"/>
      <c r="F1618" s="23">
        <f>SUM(F1612:F1617)</f>
        <v>0</v>
      </c>
    </row>
    <row r="1619" spans="2:6" ht="17" thickBot="1">
      <c r="B1619" s="8"/>
      <c r="C1619" s="8"/>
      <c r="D1619" s="8"/>
      <c r="E1619" s="8"/>
    </row>
    <row r="1620" spans="2:6" ht="15" thickTop="1" thickBot="1">
      <c r="B1620" s="16" t="s">
        <v>20</v>
      </c>
      <c r="C1620" s="17" t="s">
        <v>14</v>
      </c>
      <c r="D1620" s="17" t="s">
        <v>15</v>
      </c>
      <c r="E1620" s="17" t="s">
        <v>16</v>
      </c>
      <c r="F1620" s="18" t="s">
        <v>17</v>
      </c>
    </row>
    <row r="1621" spans="2:6" ht="17" thickTop="1">
      <c r="B1621" s="8"/>
      <c r="C1621" s="8"/>
      <c r="D1621" s="8"/>
      <c r="E1621" s="8"/>
    </row>
    <row r="1622" spans="2:6">
      <c r="B1622" s="24" t="s">
        <v>21</v>
      </c>
      <c r="C1622" s="20" t="s">
        <v>22</v>
      </c>
      <c r="D1622" s="20">
        <v>0.08</v>
      </c>
      <c r="E1622" s="22">
        <v>27500</v>
      </c>
      <c r="F1622" s="25">
        <f>E1622*D1622</f>
        <v>2200</v>
      </c>
    </row>
    <row r="1623" spans="2:6">
      <c r="B1623" s="20" t="s">
        <v>23</v>
      </c>
      <c r="C1623" s="20" t="s">
        <v>22</v>
      </c>
      <c r="D1623" s="20">
        <v>0.08</v>
      </c>
      <c r="E1623" s="22">
        <v>15000</v>
      </c>
      <c r="F1623" s="25">
        <f>E1623*D1623</f>
        <v>1200</v>
      </c>
    </row>
    <row r="1624" spans="2:6">
      <c r="B1624" s="20" t="s">
        <v>23</v>
      </c>
      <c r="C1624" s="20" t="s">
        <v>22</v>
      </c>
      <c r="D1624" s="20">
        <v>0.08</v>
      </c>
      <c r="E1624" s="22">
        <v>15000</v>
      </c>
      <c r="F1624" s="25">
        <f>E1624*D1624</f>
        <v>1200</v>
      </c>
    </row>
    <row r="1625" spans="2:6" ht="16">
      <c r="B1625" s="26"/>
      <c r="C1625" s="26"/>
      <c r="D1625" s="26"/>
      <c r="E1625" s="26"/>
      <c r="F1625" s="25">
        <f>E1625*D1625</f>
        <v>0</v>
      </c>
    </row>
    <row r="1626" spans="2:6" ht="16">
      <c r="B1626" s="27" t="s">
        <v>25</v>
      </c>
      <c r="C1626" s="27" t="s">
        <v>26</v>
      </c>
      <c r="D1626" s="28">
        <v>0.32</v>
      </c>
      <c r="E1626" s="29">
        <f>SUM(E1622:E1625)*D1626</f>
        <v>18400</v>
      </c>
      <c r="F1626" s="25">
        <f>SUM(F1622:F1624)*D1626</f>
        <v>1472</v>
      </c>
    </row>
    <row r="1627" spans="2:6" ht="16">
      <c r="B1627" s="8"/>
      <c r="C1627" s="8"/>
      <c r="D1627" s="8"/>
      <c r="E1627" s="8"/>
    </row>
    <row r="1628" spans="2:6" ht="17" thickBot="1">
      <c r="B1628" s="6" t="s">
        <v>27</v>
      </c>
      <c r="C1628" s="8"/>
      <c r="D1628" s="8"/>
      <c r="E1628" s="8"/>
      <c r="F1628" s="23">
        <f>SUM(F1622:F1627)</f>
        <v>6072</v>
      </c>
    </row>
    <row r="1629" spans="2:6" ht="17" thickBot="1">
      <c r="B1629" s="8"/>
      <c r="C1629" s="8"/>
      <c r="D1629" s="8"/>
      <c r="E1629" s="8"/>
    </row>
    <row r="1630" spans="2:6" ht="15" thickTop="1" thickBot="1">
      <c r="B1630" s="16" t="s">
        <v>28</v>
      </c>
      <c r="C1630" s="17" t="s">
        <v>14</v>
      </c>
      <c r="D1630" s="17" t="s">
        <v>15</v>
      </c>
      <c r="E1630" s="17" t="s">
        <v>16</v>
      </c>
      <c r="F1630" s="18" t="s">
        <v>17</v>
      </c>
    </row>
    <row r="1631" spans="2:6" ht="17" thickTop="1">
      <c r="B1631" s="8"/>
      <c r="C1631" s="8"/>
      <c r="D1631" s="8"/>
      <c r="E1631" s="8"/>
    </row>
    <row r="1632" spans="2:6">
      <c r="B1632" s="20" t="s">
        <v>82</v>
      </c>
      <c r="C1632" s="20" t="s">
        <v>30</v>
      </c>
      <c r="D1632" s="20">
        <v>0.09</v>
      </c>
      <c r="E1632" s="22">
        <v>25000</v>
      </c>
      <c r="F1632" s="25">
        <f>E1632*D1632</f>
        <v>2250</v>
      </c>
    </row>
    <row r="1633" spans="2:6">
      <c r="B1633" s="20" t="s">
        <v>31</v>
      </c>
      <c r="C1633" s="20" t="s">
        <v>32</v>
      </c>
      <c r="D1633" s="20">
        <v>0.11</v>
      </c>
      <c r="E1633" s="22">
        <v>120000</v>
      </c>
      <c r="F1633" s="25">
        <f>E1633*D1633</f>
        <v>13200</v>
      </c>
    </row>
    <row r="1634" spans="2:6">
      <c r="B1634" s="20" t="s">
        <v>63</v>
      </c>
      <c r="C1634" s="20" t="s">
        <v>30</v>
      </c>
      <c r="D1634" s="20">
        <v>0.11</v>
      </c>
      <c r="E1634" s="22">
        <v>15000</v>
      </c>
      <c r="F1634" s="25">
        <f>E1634*D1634</f>
        <v>1650</v>
      </c>
    </row>
    <row r="1635" spans="2:6" ht="16">
      <c r="B1635" s="26"/>
      <c r="C1635" s="26"/>
      <c r="D1635" s="26"/>
      <c r="E1635" s="26"/>
      <c r="F1635" s="25">
        <f>E1635*D1635</f>
        <v>0</v>
      </c>
    </row>
    <row r="1636" spans="2:6" ht="16">
      <c r="B1636" s="30"/>
      <c r="C1636" s="26"/>
      <c r="D1636" s="26"/>
      <c r="E1636" s="26"/>
      <c r="F1636" s="25">
        <f>E1636*D1636</f>
        <v>0</v>
      </c>
    </row>
    <row r="1637" spans="2:6" ht="16">
      <c r="B1637" s="8"/>
      <c r="C1637" s="8"/>
      <c r="D1637" s="8"/>
      <c r="E1637" s="8"/>
    </row>
    <row r="1638" spans="2:6" ht="14" thickBot="1">
      <c r="B1638" s="19" t="s">
        <v>33</v>
      </c>
      <c r="C1638" s="19"/>
      <c r="D1638" s="19"/>
      <c r="E1638" s="19"/>
      <c r="F1638" s="23">
        <f>SUM(F1632:F1637)</f>
        <v>17100</v>
      </c>
    </row>
    <row r="1639" spans="2:6" ht="16">
      <c r="B1639" s="8"/>
      <c r="C1639" s="8"/>
      <c r="D1639" s="8"/>
      <c r="E1639" s="8"/>
    </row>
    <row r="1640" spans="2:6" ht="17" thickBot="1">
      <c r="B1640" s="8"/>
      <c r="C1640" s="8"/>
      <c r="D1640" s="8"/>
      <c r="E1640" s="8"/>
    </row>
    <row r="1641" spans="2:6" ht="17" thickBot="1">
      <c r="B1641" s="31" t="s">
        <v>34</v>
      </c>
      <c r="C1641" s="13"/>
      <c r="D1641" s="13"/>
      <c r="E1641" s="13"/>
      <c r="F1641" s="32">
        <f>F1618+F1628+F1638</f>
        <v>23172</v>
      </c>
    </row>
    <row r="1642" spans="2:6" ht="17" thickBot="1">
      <c r="B1642" s="31" t="s">
        <v>35</v>
      </c>
      <c r="C1642" s="13"/>
      <c r="D1642" s="13"/>
      <c r="E1642" s="33">
        <v>0.1</v>
      </c>
      <c r="F1642" s="32">
        <f>F1641*E1642</f>
        <v>2317.2000000000003</v>
      </c>
    </row>
    <row r="1643" spans="2:6" ht="17" thickBot="1">
      <c r="B1643" s="31" t="s">
        <v>36</v>
      </c>
      <c r="C1643" s="13"/>
      <c r="D1643" s="13"/>
      <c r="E1643" s="33">
        <v>0.1</v>
      </c>
      <c r="F1643" s="32">
        <f>F1641*E1643</f>
        <v>2317.2000000000003</v>
      </c>
    </row>
    <row r="1644" spans="2:6" ht="17" thickBot="1">
      <c r="B1644" s="34" t="s">
        <v>37</v>
      </c>
      <c r="C1644" s="35"/>
      <c r="D1644" s="35"/>
      <c r="E1644" s="35"/>
      <c r="F1644" s="32">
        <f>SUM(F1641:F1643)</f>
        <v>27806.400000000001</v>
      </c>
    </row>
    <row r="1645" spans="2:6" ht="17" thickBot="1">
      <c r="B1645" s="36"/>
      <c r="C1645" s="8"/>
      <c r="D1645" s="8"/>
      <c r="E1645" s="8"/>
    </row>
    <row r="1646" spans="2:6" ht="18" thickTop="1" thickBot="1">
      <c r="B1646" s="37" t="s">
        <v>38</v>
      </c>
      <c r="C1646" s="8"/>
      <c r="D1646" s="8"/>
      <c r="E1646" s="8"/>
    </row>
    <row r="1647" spans="2:6" ht="18" thickTop="1" thickBot="1">
      <c r="B1647" s="8"/>
      <c r="C1647" s="8"/>
      <c r="D1647" s="8"/>
      <c r="E1647" s="8"/>
    </row>
    <row r="1648" spans="2:6" ht="17" thickTop="1">
      <c r="B1648" s="38"/>
      <c r="C1648" s="13"/>
      <c r="D1648" s="13"/>
      <c r="E1648" s="39"/>
      <c r="F1648" s="40"/>
    </row>
    <row r="1649" spans="2:6" ht="16">
      <c r="B1649" s="38"/>
      <c r="C1649" s="13"/>
      <c r="D1649" s="13"/>
      <c r="E1649" s="41"/>
      <c r="F1649" s="42"/>
    </row>
    <row r="1650" spans="2:6" ht="16">
      <c r="B1650" s="38"/>
      <c r="C1650" s="13"/>
      <c r="D1650" s="13"/>
      <c r="E1650" s="41"/>
      <c r="F1650" s="42"/>
    </row>
    <row r="1651" spans="2:6" ht="17" thickBot="1">
      <c r="B1651" s="54"/>
      <c r="C1651" s="35"/>
      <c r="D1651" s="35"/>
      <c r="E1651" s="44"/>
      <c r="F1651" s="45"/>
    </row>
    <row r="1652" spans="2:6" ht="17" thickTop="1">
      <c r="B1652" s="46"/>
      <c r="C1652" s="46"/>
      <c r="D1652" s="46"/>
      <c r="E1652" s="47"/>
      <c r="F1652" s="47"/>
    </row>
    <row r="1653" spans="2:6" ht="14" thickBot="1">
      <c r="B1653" s="6" t="s">
        <v>0</v>
      </c>
      <c r="C1653" s="6"/>
    </row>
    <row r="1654" spans="2:6" ht="17" thickBot="1">
      <c r="B1654" s="1" t="s">
        <v>1</v>
      </c>
      <c r="C1654" s="1"/>
      <c r="E1654" s="4" t="s">
        <v>2</v>
      </c>
      <c r="F1654" s="5"/>
    </row>
    <row r="1655" spans="2:6">
      <c r="B1655" s="6"/>
    </row>
    <row r="1656" spans="2:6" ht="16">
      <c r="B1656" s="7" t="s">
        <v>3</v>
      </c>
      <c r="C1656" s="7"/>
      <c r="D1656" s="7"/>
      <c r="E1656" s="7"/>
      <c r="F1656" s="7"/>
    </row>
    <row r="1657" spans="2:6" ht="16">
      <c r="B1657" s="8"/>
      <c r="C1657" s="8"/>
      <c r="D1657" s="8"/>
      <c r="E1657" s="8"/>
    </row>
    <row r="1658" spans="2:6" ht="19" customHeight="1">
      <c r="B1658" s="9" t="s">
        <v>4</v>
      </c>
      <c r="C1658" s="10" t="str">
        <f>C1601</f>
        <v>MEJORAMIENTO ESPACIO PUBLICO JJVV LUCILA GODOY ALCAYAGA</v>
      </c>
      <c r="D1658" s="10"/>
      <c r="E1658" s="10"/>
      <c r="F1658" s="11"/>
    </row>
    <row r="1659" spans="2:6" ht="16">
      <c r="B1659" s="12"/>
      <c r="C1659" s="8"/>
      <c r="D1659" s="8"/>
      <c r="E1659" s="8"/>
    </row>
    <row r="1660" spans="2:6" ht="16">
      <c r="B1660" s="9" t="s">
        <v>5</v>
      </c>
      <c r="C1660" s="13" t="s">
        <v>6</v>
      </c>
      <c r="D1660" s="13"/>
      <c r="E1660" s="13"/>
      <c r="F1660" s="14"/>
    </row>
    <row r="1661" spans="2:6" ht="16">
      <c r="B1661" s="9"/>
      <c r="C1661" s="13"/>
      <c r="D1661" s="13"/>
      <c r="E1661" s="13"/>
      <c r="F1661" s="14"/>
    </row>
    <row r="1662" spans="2:6" ht="16">
      <c r="B1662" s="9" t="s">
        <v>7</v>
      </c>
      <c r="C1662" s="13" t="str">
        <f>[1]LGA!A47</f>
        <v>2.5.2</v>
      </c>
      <c r="D1662" s="13"/>
      <c r="E1662" s="13"/>
      <c r="F1662" s="14"/>
    </row>
    <row r="1663" spans="2:6" ht="16">
      <c r="B1663" s="9" t="s">
        <v>8</v>
      </c>
      <c r="C1663" s="13" t="s">
        <v>162</v>
      </c>
      <c r="D1663" s="13"/>
      <c r="E1663" s="13"/>
      <c r="F1663" s="14"/>
    </row>
    <row r="1664" spans="2:6" ht="16">
      <c r="B1664" s="9" t="s">
        <v>10</v>
      </c>
      <c r="C1664" s="13" t="s">
        <v>87</v>
      </c>
      <c r="D1664" s="13"/>
      <c r="E1664" s="13"/>
      <c r="F1664" s="14"/>
    </row>
    <row r="1665" spans="2:6" ht="16">
      <c r="B1665" s="9" t="s">
        <v>12</v>
      </c>
      <c r="C1665" s="15">
        <f>C1608</f>
        <v>46024</v>
      </c>
      <c r="D1665" s="13"/>
      <c r="E1665" s="13"/>
      <c r="F1665" s="14"/>
    </row>
    <row r="1666" spans="2:6" ht="17" thickBot="1">
      <c r="B1666" s="8"/>
      <c r="C1666" s="8"/>
      <c r="D1666" s="8"/>
      <c r="E1666" s="8"/>
    </row>
    <row r="1667" spans="2:6" ht="15" thickTop="1" thickBot="1">
      <c r="B1667" s="16" t="s">
        <v>13</v>
      </c>
      <c r="C1667" s="17" t="s">
        <v>14</v>
      </c>
      <c r="D1667" s="17" t="s">
        <v>15</v>
      </c>
      <c r="E1667" s="17" t="s">
        <v>16</v>
      </c>
      <c r="F1667" s="18" t="s">
        <v>17</v>
      </c>
    </row>
    <row r="1668" spans="2:6" ht="14" thickTop="1">
      <c r="B1668" s="19"/>
      <c r="C1668" s="19"/>
      <c r="D1668" s="19"/>
      <c r="E1668" s="19"/>
      <c r="F1668" s="19"/>
    </row>
    <row r="1669" spans="2:6">
      <c r="B1669" s="20"/>
      <c r="C1669" s="21"/>
      <c r="D1669" s="21"/>
      <c r="E1669" s="22"/>
      <c r="F1669" s="22">
        <f t="shared" ref="F1669:F1674" si="26">E1669*D1669</f>
        <v>0</v>
      </c>
    </row>
    <row r="1670" spans="2:6">
      <c r="B1670" s="20"/>
      <c r="C1670" s="21"/>
      <c r="D1670" s="21"/>
      <c r="E1670" s="22"/>
      <c r="F1670" s="22">
        <f t="shared" si="26"/>
        <v>0</v>
      </c>
    </row>
    <row r="1671" spans="2:6">
      <c r="B1671" s="20"/>
      <c r="C1671" s="21"/>
      <c r="D1671" s="21"/>
      <c r="E1671" s="22"/>
      <c r="F1671" s="22">
        <f t="shared" si="26"/>
        <v>0</v>
      </c>
    </row>
    <row r="1672" spans="2:6">
      <c r="B1672" s="20"/>
      <c r="C1672" s="21"/>
      <c r="D1672" s="21"/>
      <c r="E1672" s="22"/>
      <c r="F1672" s="22">
        <f t="shared" si="26"/>
        <v>0</v>
      </c>
    </row>
    <row r="1673" spans="2:6">
      <c r="B1673" s="20"/>
      <c r="C1673" s="21"/>
      <c r="D1673" s="21"/>
      <c r="E1673" s="22"/>
      <c r="F1673" s="22">
        <f t="shared" si="26"/>
        <v>0</v>
      </c>
    </row>
    <row r="1674" spans="2:6">
      <c r="B1674" s="20"/>
      <c r="C1674" s="21"/>
      <c r="D1674" s="21"/>
      <c r="E1674" s="22"/>
      <c r="F1674" s="22">
        <f t="shared" si="26"/>
        <v>0</v>
      </c>
    </row>
    <row r="1675" spans="2:6" ht="17" thickBot="1">
      <c r="B1675" s="6" t="s">
        <v>19</v>
      </c>
      <c r="C1675" s="8"/>
      <c r="D1675" s="8"/>
      <c r="E1675" s="8"/>
      <c r="F1675" s="23">
        <f>SUM(F1669:F1674)</f>
        <v>0</v>
      </c>
    </row>
    <row r="1676" spans="2:6" ht="17" thickBot="1">
      <c r="B1676" s="8"/>
      <c r="C1676" s="8"/>
      <c r="D1676" s="8"/>
      <c r="E1676" s="8"/>
    </row>
    <row r="1677" spans="2:6" ht="15" thickTop="1" thickBot="1">
      <c r="B1677" s="16" t="s">
        <v>20</v>
      </c>
      <c r="C1677" s="17" t="s">
        <v>14</v>
      </c>
      <c r="D1677" s="17" t="s">
        <v>15</v>
      </c>
      <c r="E1677" s="17" t="s">
        <v>16</v>
      </c>
      <c r="F1677" s="18" t="s">
        <v>17</v>
      </c>
    </row>
    <row r="1678" spans="2:6" ht="17" thickTop="1">
      <c r="B1678" s="8"/>
      <c r="C1678" s="8"/>
      <c r="D1678" s="8"/>
      <c r="E1678" s="8"/>
    </row>
    <row r="1679" spans="2:6">
      <c r="B1679" s="24" t="s">
        <v>21</v>
      </c>
      <c r="C1679" s="20" t="s">
        <v>22</v>
      </c>
      <c r="D1679" s="20">
        <v>0.08</v>
      </c>
      <c r="E1679" s="22">
        <v>27500</v>
      </c>
      <c r="F1679" s="25">
        <f>E1679*D1679</f>
        <v>2200</v>
      </c>
    </row>
    <row r="1680" spans="2:6">
      <c r="B1680" s="20" t="s">
        <v>23</v>
      </c>
      <c r="C1680" s="20" t="s">
        <v>22</v>
      </c>
      <c r="D1680" s="20">
        <v>0.08</v>
      </c>
      <c r="E1680" s="22">
        <v>15000</v>
      </c>
      <c r="F1680" s="25">
        <f>E1680*D1680</f>
        <v>1200</v>
      </c>
    </row>
    <row r="1681" spans="2:6">
      <c r="B1681" s="20" t="s">
        <v>23</v>
      </c>
      <c r="C1681" s="20" t="s">
        <v>22</v>
      </c>
      <c r="D1681" s="20">
        <v>0.08</v>
      </c>
      <c r="E1681" s="22">
        <v>15000</v>
      </c>
      <c r="F1681" s="25">
        <f>E1681*D1681</f>
        <v>1200</v>
      </c>
    </row>
    <row r="1682" spans="2:6" ht="16">
      <c r="B1682" s="26"/>
      <c r="C1682" s="26"/>
      <c r="D1682" s="26"/>
      <c r="E1682" s="26"/>
      <c r="F1682" s="25">
        <f>E1682*D1682</f>
        <v>0</v>
      </c>
    </row>
    <row r="1683" spans="2:6" ht="16">
      <c r="B1683" s="27" t="s">
        <v>25</v>
      </c>
      <c r="C1683" s="27" t="s">
        <v>26</v>
      </c>
      <c r="D1683" s="28">
        <v>0.32</v>
      </c>
      <c r="E1683" s="29">
        <f>SUM(E1679:E1682)*D1683</f>
        <v>18400</v>
      </c>
      <c r="F1683" s="25">
        <f>SUM(F1679:F1681)*D1683</f>
        <v>1472</v>
      </c>
    </row>
    <row r="1684" spans="2:6" ht="16">
      <c r="B1684" s="8"/>
      <c r="C1684" s="8"/>
      <c r="D1684" s="8"/>
      <c r="E1684" s="8"/>
    </row>
    <row r="1685" spans="2:6" ht="17" thickBot="1">
      <c r="B1685" s="6" t="s">
        <v>27</v>
      </c>
      <c r="C1685" s="8"/>
      <c r="D1685" s="8"/>
      <c r="E1685" s="8"/>
      <c r="F1685" s="23">
        <f>SUM(F1679:F1684)</f>
        <v>6072</v>
      </c>
    </row>
    <row r="1686" spans="2:6" ht="17" thickBot="1">
      <c r="B1686" s="8"/>
      <c r="C1686" s="8"/>
      <c r="D1686" s="8"/>
      <c r="E1686" s="8"/>
    </row>
    <row r="1687" spans="2:6" ht="15" thickTop="1" thickBot="1">
      <c r="B1687" s="16" t="s">
        <v>28</v>
      </c>
      <c r="C1687" s="17" t="s">
        <v>14</v>
      </c>
      <c r="D1687" s="17" t="s">
        <v>15</v>
      </c>
      <c r="E1687" s="17" t="s">
        <v>16</v>
      </c>
      <c r="F1687" s="18" t="s">
        <v>17</v>
      </c>
    </row>
    <row r="1688" spans="2:6" ht="17" thickTop="1">
      <c r="B1688" s="8"/>
      <c r="C1688" s="8"/>
      <c r="D1688" s="8"/>
      <c r="E1688" s="8"/>
    </row>
    <row r="1689" spans="2:6">
      <c r="B1689" s="20" t="s">
        <v>93</v>
      </c>
      <c r="C1689" s="20" t="s">
        <v>32</v>
      </c>
      <c r="D1689" s="20">
        <v>4.3999999999999997E-2</v>
      </c>
      <c r="E1689" s="22">
        <v>25000</v>
      </c>
      <c r="F1689" s="25">
        <f>E1689*D1689</f>
        <v>1100</v>
      </c>
    </row>
    <row r="1690" spans="2:6">
      <c r="B1690" s="20" t="s">
        <v>163</v>
      </c>
      <c r="C1690" s="20" t="s">
        <v>30</v>
      </c>
      <c r="D1690" s="20">
        <v>0.11</v>
      </c>
      <c r="E1690" s="22">
        <v>120000</v>
      </c>
      <c r="F1690" s="25">
        <f>E1690*D1690</f>
        <v>13200</v>
      </c>
    </row>
    <row r="1691" spans="2:6">
      <c r="B1691" s="20"/>
      <c r="C1691" s="20"/>
      <c r="D1691" s="20"/>
      <c r="E1691" s="22"/>
      <c r="F1691" s="25">
        <f>E1691*D1691</f>
        <v>0</v>
      </c>
    </row>
    <row r="1692" spans="2:6" ht="16">
      <c r="B1692" s="26"/>
      <c r="C1692" s="26"/>
      <c r="D1692" s="26"/>
      <c r="E1692" s="26"/>
      <c r="F1692" s="25">
        <f>E1692*D1692</f>
        <v>0</v>
      </c>
    </row>
    <row r="1693" spans="2:6" ht="16">
      <c r="B1693" s="30"/>
      <c r="C1693" s="26"/>
      <c r="D1693" s="26"/>
      <c r="E1693" s="26"/>
      <c r="F1693" s="25">
        <f>E1693*D1693</f>
        <v>0</v>
      </c>
    </row>
    <row r="1694" spans="2:6" ht="16">
      <c r="B1694" s="8"/>
      <c r="C1694" s="8"/>
      <c r="D1694" s="8"/>
      <c r="E1694" s="8"/>
    </row>
    <row r="1695" spans="2:6" ht="14" thickBot="1">
      <c r="B1695" s="19" t="s">
        <v>33</v>
      </c>
      <c r="C1695" s="19"/>
      <c r="D1695" s="19"/>
      <c r="E1695" s="19"/>
      <c r="F1695" s="23">
        <f>SUM(F1689:F1694)</f>
        <v>14300</v>
      </c>
    </row>
    <row r="1696" spans="2:6" ht="16">
      <c r="B1696" s="8"/>
      <c r="C1696" s="8"/>
      <c r="D1696" s="8"/>
      <c r="E1696" s="8"/>
    </row>
    <row r="1697" spans="2:6" ht="17" thickBot="1">
      <c r="B1697" s="8"/>
      <c r="C1697" s="8"/>
      <c r="D1697" s="8"/>
      <c r="E1697" s="8"/>
    </row>
    <row r="1698" spans="2:6" ht="17" thickBot="1">
      <c r="B1698" s="31" t="s">
        <v>34</v>
      </c>
      <c r="C1698" s="13"/>
      <c r="D1698" s="13"/>
      <c r="E1698" s="13"/>
      <c r="F1698" s="32">
        <f>F1675+F1685+F1695</f>
        <v>20372</v>
      </c>
    </row>
    <row r="1699" spans="2:6" ht="17" thickBot="1">
      <c r="B1699" s="31" t="s">
        <v>35</v>
      </c>
      <c r="C1699" s="13"/>
      <c r="D1699" s="13"/>
      <c r="E1699" s="33">
        <v>0.1</v>
      </c>
      <c r="F1699" s="32">
        <f>F1698*E1699</f>
        <v>2037.2</v>
      </c>
    </row>
    <row r="1700" spans="2:6" ht="17" thickBot="1">
      <c r="B1700" s="31" t="s">
        <v>36</v>
      </c>
      <c r="C1700" s="13"/>
      <c r="D1700" s="13"/>
      <c r="E1700" s="33">
        <v>0.1</v>
      </c>
      <c r="F1700" s="32">
        <f>F1698*E1700</f>
        <v>2037.2</v>
      </c>
    </row>
    <row r="1701" spans="2:6" ht="17" thickBot="1">
      <c r="B1701" s="34" t="s">
        <v>37</v>
      </c>
      <c r="C1701" s="35"/>
      <c r="D1701" s="35"/>
      <c r="E1701" s="35"/>
      <c r="F1701" s="32">
        <f>SUM(F1698:F1700)</f>
        <v>24446.400000000001</v>
      </c>
    </row>
    <row r="1702" spans="2:6" ht="17" thickBot="1">
      <c r="B1702" s="36"/>
      <c r="C1702" s="8"/>
      <c r="D1702" s="8"/>
      <c r="E1702" s="8"/>
    </row>
    <row r="1703" spans="2:6" ht="18" thickTop="1" thickBot="1">
      <c r="B1703" s="37" t="s">
        <v>38</v>
      </c>
      <c r="C1703" s="8"/>
      <c r="D1703" s="8"/>
      <c r="E1703" s="8"/>
    </row>
    <row r="1704" spans="2:6" ht="18" thickTop="1" thickBot="1">
      <c r="B1704" s="8"/>
      <c r="C1704" s="8"/>
      <c r="D1704" s="8"/>
      <c r="E1704" s="8"/>
    </row>
    <row r="1705" spans="2:6" ht="17" thickTop="1">
      <c r="B1705" s="38"/>
      <c r="C1705" s="13"/>
      <c r="D1705" s="13"/>
      <c r="E1705" s="39"/>
      <c r="F1705" s="40"/>
    </row>
    <row r="1706" spans="2:6" ht="16">
      <c r="B1706" s="38"/>
      <c r="C1706" s="13"/>
      <c r="D1706" s="13"/>
      <c r="E1706" s="41"/>
      <c r="F1706" s="42"/>
    </row>
    <row r="1707" spans="2:6" ht="16">
      <c r="B1707" s="38"/>
      <c r="C1707" s="13"/>
      <c r="D1707" s="13"/>
      <c r="E1707" s="41"/>
      <c r="F1707" s="42"/>
    </row>
    <row r="1708" spans="2:6" ht="17" thickBot="1">
      <c r="B1708" s="54"/>
      <c r="C1708" s="35"/>
      <c r="D1708" s="35"/>
      <c r="E1708" s="44"/>
      <c r="F1708" s="45"/>
    </row>
    <row r="1709" spans="2:6" ht="17" thickTop="1">
      <c r="B1709" s="46"/>
      <c r="C1709" s="46"/>
      <c r="D1709" s="46"/>
      <c r="E1709" s="47"/>
      <c r="F1709" s="47"/>
    </row>
    <row r="1710" spans="2:6" ht="14" thickBot="1">
      <c r="B1710" s="1" t="s">
        <v>0</v>
      </c>
      <c r="C1710" s="1"/>
    </row>
    <row r="1711" spans="2:6" ht="17" thickBot="1">
      <c r="B1711" s="1" t="s">
        <v>1</v>
      </c>
      <c r="C1711" s="1"/>
      <c r="E1711" s="4" t="s">
        <v>2</v>
      </c>
      <c r="F1711" s="5"/>
    </row>
    <row r="1712" spans="2:6">
      <c r="B1712" s="6"/>
    </row>
    <row r="1713" spans="2:6" ht="16">
      <c r="B1713" s="7" t="s">
        <v>3</v>
      </c>
      <c r="C1713" s="7"/>
      <c r="D1713" s="7"/>
      <c r="E1713" s="7"/>
      <c r="F1713" s="7"/>
    </row>
    <row r="1714" spans="2:6" ht="16">
      <c r="B1714" s="8"/>
      <c r="C1714" s="8"/>
      <c r="D1714" s="8"/>
      <c r="E1714" s="8"/>
    </row>
    <row r="1715" spans="2:6" ht="20" customHeight="1">
      <c r="B1715" s="9" t="s">
        <v>4</v>
      </c>
      <c r="C1715" s="10" t="str">
        <f>C1658</f>
        <v>MEJORAMIENTO ESPACIO PUBLICO JJVV LUCILA GODOY ALCAYAGA</v>
      </c>
      <c r="D1715" s="10"/>
      <c r="E1715" s="10"/>
      <c r="F1715" s="11"/>
    </row>
    <row r="1716" spans="2:6" ht="16">
      <c r="B1716" s="12"/>
      <c r="C1716" s="8"/>
      <c r="D1716" s="8"/>
      <c r="E1716" s="8"/>
    </row>
    <row r="1717" spans="2:6" ht="16">
      <c r="B1717" s="9" t="s">
        <v>5</v>
      </c>
      <c r="C1717" s="13" t="s">
        <v>6</v>
      </c>
      <c r="D1717" s="13"/>
      <c r="E1717" s="13"/>
      <c r="F1717" s="14"/>
    </row>
    <row r="1718" spans="2:6" ht="16">
      <c r="B1718" s="9"/>
      <c r="C1718" s="13"/>
      <c r="D1718" s="13"/>
      <c r="E1718" s="13"/>
      <c r="F1718" s="14"/>
    </row>
    <row r="1719" spans="2:6" ht="16">
      <c r="B1719" s="9" t="s">
        <v>7</v>
      </c>
      <c r="C1719" s="13" t="str">
        <f>[1]LGA!A48</f>
        <v>2.5.3</v>
      </c>
      <c r="D1719" s="13"/>
      <c r="E1719" s="13"/>
      <c r="F1719" s="14"/>
    </row>
    <row r="1720" spans="2:6" ht="16">
      <c r="B1720" s="9" t="s">
        <v>8</v>
      </c>
      <c r="C1720" s="13" t="s">
        <v>91</v>
      </c>
      <c r="D1720" s="13"/>
      <c r="E1720" s="13"/>
      <c r="F1720" s="14"/>
    </row>
    <row r="1721" spans="2:6" ht="16">
      <c r="B1721" s="9" t="s">
        <v>10</v>
      </c>
      <c r="C1721" s="13" t="s">
        <v>87</v>
      </c>
      <c r="D1721" s="13"/>
      <c r="E1721" s="13"/>
      <c r="F1721" s="14"/>
    </row>
    <row r="1722" spans="2:6" ht="16">
      <c r="B1722" s="9" t="s">
        <v>12</v>
      </c>
      <c r="C1722" s="15">
        <f>C1665</f>
        <v>46024</v>
      </c>
      <c r="D1722" s="13"/>
      <c r="E1722" s="13"/>
      <c r="F1722" s="14"/>
    </row>
    <row r="1723" spans="2:6" ht="17" thickBot="1">
      <c r="B1723" s="8"/>
      <c r="C1723" s="8"/>
      <c r="D1723" s="8"/>
      <c r="E1723" s="8"/>
    </row>
    <row r="1724" spans="2:6" ht="15" thickTop="1" thickBot="1">
      <c r="B1724" s="16" t="s">
        <v>13</v>
      </c>
      <c r="C1724" s="17" t="s">
        <v>14</v>
      </c>
      <c r="D1724" s="17" t="s">
        <v>15</v>
      </c>
      <c r="E1724" s="17" t="s">
        <v>16</v>
      </c>
      <c r="F1724" s="18" t="s">
        <v>17</v>
      </c>
    </row>
    <row r="1725" spans="2:6" ht="14" thickTop="1">
      <c r="B1725" s="19"/>
      <c r="C1725" s="19"/>
      <c r="D1725" s="19"/>
      <c r="E1725" s="19"/>
      <c r="F1725" s="19"/>
    </row>
    <row r="1726" spans="2:6">
      <c r="B1726" s="20" t="s">
        <v>92</v>
      </c>
      <c r="C1726" s="21" t="s">
        <v>81</v>
      </c>
      <c r="D1726" s="21">
        <v>1</v>
      </c>
      <c r="E1726" s="22">
        <v>15000</v>
      </c>
      <c r="F1726" s="22">
        <f t="shared" ref="F1726:F1731" si="27">E1726*D1726</f>
        <v>15000</v>
      </c>
    </row>
    <row r="1727" spans="2:6">
      <c r="B1727" s="20"/>
      <c r="C1727" s="21"/>
      <c r="D1727" s="21"/>
      <c r="E1727" s="22"/>
      <c r="F1727" s="22">
        <f t="shared" si="27"/>
        <v>0</v>
      </c>
    </row>
    <row r="1728" spans="2:6">
      <c r="B1728" s="20"/>
      <c r="C1728" s="21"/>
      <c r="D1728" s="21"/>
      <c r="E1728" s="22"/>
      <c r="F1728" s="22">
        <f t="shared" si="27"/>
        <v>0</v>
      </c>
    </row>
    <row r="1729" spans="2:6">
      <c r="B1729" s="20"/>
      <c r="C1729" s="21"/>
      <c r="D1729" s="21"/>
      <c r="E1729" s="22"/>
      <c r="F1729" s="22">
        <f t="shared" si="27"/>
        <v>0</v>
      </c>
    </row>
    <row r="1730" spans="2:6">
      <c r="B1730" s="20"/>
      <c r="C1730" s="21"/>
      <c r="D1730" s="21"/>
      <c r="E1730" s="22"/>
      <c r="F1730" s="22">
        <f t="shared" si="27"/>
        <v>0</v>
      </c>
    </row>
    <row r="1731" spans="2:6">
      <c r="B1731" s="20"/>
      <c r="C1731" s="21"/>
      <c r="D1731" s="21"/>
      <c r="E1731" s="22"/>
      <c r="F1731" s="22">
        <f t="shared" si="27"/>
        <v>0</v>
      </c>
    </row>
    <row r="1732" spans="2:6" ht="17" thickBot="1">
      <c r="B1732" s="6" t="s">
        <v>19</v>
      </c>
      <c r="C1732" s="8"/>
      <c r="D1732" s="8"/>
      <c r="E1732" s="8"/>
      <c r="F1732" s="23">
        <f>SUM(F1726:F1731)</f>
        <v>15000</v>
      </c>
    </row>
    <row r="1733" spans="2:6" ht="17" thickBot="1">
      <c r="B1733" s="8"/>
      <c r="C1733" s="8"/>
      <c r="D1733" s="8"/>
      <c r="E1733" s="8"/>
    </row>
    <row r="1734" spans="2:6" ht="15" thickTop="1" thickBot="1">
      <c r="B1734" s="16" t="s">
        <v>20</v>
      </c>
      <c r="C1734" s="17" t="s">
        <v>14</v>
      </c>
      <c r="D1734" s="17" t="s">
        <v>15</v>
      </c>
      <c r="E1734" s="17" t="s">
        <v>16</v>
      </c>
      <c r="F1734" s="18" t="s">
        <v>17</v>
      </c>
    </row>
    <row r="1735" spans="2:6" ht="17" thickTop="1">
      <c r="B1735" s="8"/>
      <c r="C1735" s="8"/>
      <c r="D1735" s="8"/>
      <c r="E1735" s="8"/>
    </row>
    <row r="1736" spans="2:6">
      <c r="B1736" s="24" t="s">
        <v>21</v>
      </c>
      <c r="C1736" s="20" t="s">
        <v>22</v>
      </c>
      <c r="D1736" s="20">
        <v>4.3999999999999997E-2</v>
      </c>
      <c r="E1736" s="22">
        <v>27500</v>
      </c>
      <c r="F1736" s="25">
        <f>E1736*D1736</f>
        <v>1210</v>
      </c>
    </row>
    <row r="1737" spans="2:6">
      <c r="B1737" s="20" t="s">
        <v>23</v>
      </c>
      <c r="C1737" s="20" t="s">
        <v>22</v>
      </c>
      <c r="D1737" s="20">
        <v>4.3999999999999997E-2</v>
      </c>
      <c r="E1737" s="22">
        <v>15000</v>
      </c>
      <c r="F1737" s="25">
        <f>E1737*D1737</f>
        <v>660</v>
      </c>
    </row>
    <row r="1738" spans="2:6" ht="16">
      <c r="B1738" s="26"/>
      <c r="C1738" s="26"/>
      <c r="D1738" s="26"/>
      <c r="E1738" s="26"/>
      <c r="F1738" s="25">
        <f>E1738*D1738</f>
        <v>0</v>
      </c>
    </row>
    <row r="1739" spans="2:6" ht="16">
      <c r="B1739" s="26"/>
      <c r="C1739" s="26"/>
      <c r="D1739" s="26"/>
      <c r="E1739" s="26"/>
      <c r="F1739" s="25">
        <f>E1739*D1739</f>
        <v>0</v>
      </c>
    </row>
    <row r="1740" spans="2:6" ht="16">
      <c r="B1740" s="27" t="s">
        <v>25</v>
      </c>
      <c r="C1740" s="27" t="s">
        <v>26</v>
      </c>
      <c r="D1740" s="28">
        <v>0.32</v>
      </c>
      <c r="E1740" s="29">
        <f>SUM(E1736:E1739)*D1740</f>
        <v>13600</v>
      </c>
      <c r="F1740" s="25">
        <f>E1740*D1740</f>
        <v>4352</v>
      </c>
    </row>
    <row r="1741" spans="2:6" ht="16">
      <c r="B1741" s="8"/>
      <c r="C1741" s="8"/>
      <c r="D1741" s="8"/>
      <c r="E1741" s="8"/>
    </row>
    <row r="1742" spans="2:6" ht="17" thickBot="1">
      <c r="B1742" s="6" t="s">
        <v>27</v>
      </c>
      <c r="C1742" s="8"/>
      <c r="D1742" s="8"/>
      <c r="E1742" s="8"/>
      <c r="F1742" s="23">
        <f>SUM(F1736:F1740)*D1740</f>
        <v>1991.04</v>
      </c>
    </row>
    <row r="1743" spans="2:6" ht="17" thickBot="1">
      <c r="B1743" s="8"/>
      <c r="C1743" s="8"/>
      <c r="D1743" s="8"/>
      <c r="E1743" s="8"/>
    </row>
    <row r="1744" spans="2:6" ht="15" thickTop="1" thickBot="1">
      <c r="B1744" s="16" t="s">
        <v>28</v>
      </c>
      <c r="C1744" s="17" t="s">
        <v>14</v>
      </c>
      <c r="D1744" s="17" t="s">
        <v>15</v>
      </c>
      <c r="E1744" s="17" t="s">
        <v>16</v>
      </c>
      <c r="F1744" s="18" t="s">
        <v>17</v>
      </c>
    </row>
    <row r="1745" spans="2:6" ht="17" thickTop="1">
      <c r="B1745" s="8"/>
      <c r="C1745" s="8"/>
      <c r="D1745" s="8"/>
      <c r="E1745" s="8"/>
    </row>
    <row r="1746" spans="2:6">
      <c r="B1746" s="20" t="s">
        <v>93</v>
      </c>
      <c r="C1746" s="20" t="s">
        <v>32</v>
      </c>
      <c r="D1746" s="20">
        <v>4.3999999999999997E-2</v>
      </c>
      <c r="E1746" s="22">
        <v>25000</v>
      </c>
      <c r="F1746" s="25">
        <f>E1746*D1746</f>
        <v>1100</v>
      </c>
    </row>
    <row r="1747" spans="2:6">
      <c r="B1747" s="20"/>
      <c r="C1747" s="20"/>
      <c r="D1747" s="55"/>
      <c r="E1747" s="22"/>
      <c r="F1747" s="25">
        <f>E1747*D1747</f>
        <v>0</v>
      </c>
    </row>
    <row r="1748" spans="2:6" ht="16">
      <c r="B1748" s="26"/>
      <c r="C1748" s="26"/>
      <c r="D1748" s="26"/>
      <c r="E1748" s="26"/>
      <c r="F1748" s="25">
        <f>E1748*D1748</f>
        <v>0</v>
      </c>
    </row>
    <row r="1749" spans="2:6" ht="16">
      <c r="B1749" s="26"/>
      <c r="C1749" s="26"/>
      <c r="D1749" s="26"/>
      <c r="E1749" s="26"/>
      <c r="F1749" s="25">
        <f>E1749*D1749</f>
        <v>0</v>
      </c>
    </row>
    <row r="1750" spans="2:6" ht="16">
      <c r="B1750" s="30"/>
      <c r="C1750" s="26"/>
      <c r="D1750" s="26"/>
      <c r="E1750" s="26"/>
      <c r="F1750" s="25">
        <f>E1750*D1750</f>
        <v>0</v>
      </c>
    </row>
    <row r="1751" spans="2:6" ht="16">
      <c r="B1751" s="8"/>
      <c r="C1751" s="8"/>
      <c r="D1751" s="8"/>
      <c r="E1751" s="8"/>
    </row>
    <row r="1752" spans="2:6" ht="14" thickBot="1">
      <c r="B1752" s="19" t="s">
        <v>33</v>
      </c>
      <c r="C1752" s="19"/>
      <c r="D1752" s="19"/>
      <c r="E1752" s="19"/>
      <c r="F1752" s="23">
        <f>SUM(F1746:F1751)</f>
        <v>1100</v>
      </c>
    </row>
    <row r="1753" spans="2:6" ht="16">
      <c r="B1753" s="8"/>
      <c r="C1753" s="8"/>
      <c r="D1753" s="8"/>
      <c r="E1753" s="8"/>
    </row>
    <row r="1754" spans="2:6" ht="17" thickBot="1">
      <c r="B1754" s="8"/>
      <c r="C1754" s="8"/>
      <c r="D1754" s="8"/>
      <c r="E1754" s="8"/>
    </row>
    <row r="1755" spans="2:6" ht="17" thickBot="1">
      <c r="B1755" s="31" t="s">
        <v>34</v>
      </c>
      <c r="C1755" s="13"/>
      <c r="D1755" s="13"/>
      <c r="E1755" s="13"/>
      <c r="F1755" s="32">
        <f>F1732+F1742+F1752</f>
        <v>18091.04</v>
      </c>
    </row>
    <row r="1756" spans="2:6" ht="17" thickBot="1">
      <c r="B1756" s="31" t="s">
        <v>35</v>
      </c>
      <c r="C1756" s="13"/>
      <c r="D1756" s="13"/>
      <c r="E1756" s="33">
        <f>E1699</f>
        <v>0.1</v>
      </c>
      <c r="F1756" s="32">
        <f>F1755*E1756</f>
        <v>1809.1040000000003</v>
      </c>
    </row>
    <row r="1757" spans="2:6" ht="17" thickBot="1">
      <c r="B1757" s="31" t="s">
        <v>36</v>
      </c>
      <c r="C1757" s="13"/>
      <c r="D1757" s="13"/>
      <c r="E1757" s="33">
        <f>E1700</f>
        <v>0.1</v>
      </c>
      <c r="F1757" s="32">
        <f>F1755*E1757</f>
        <v>1809.1040000000003</v>
      </c>
    </row>
    <row r="1758" spans="2:6" ht="17" thickBot="1">
      <c r="B1758" s="34" t="s">
        <v>37</v>
      </c>
      <c r="C1758" s="35"/>
      <c r="D1758" s="35"/>
      <c r="E1758" s="35"/>
      <c r="F1758" s="32">
        <f>SUM(F1755:F1757)</f>
        <v>21709.248</v>
      </c>
    </row>
    <row r="1759" spans="2:6" ht="17" thickBot="1">
      <c r="B1759" s="36"/>
      <c r="C1759" s="8"/>
      <c r="D1759" s="8"/>
      <c r="E1759" s="8"/>
    </row>
    <row r="1760" spans="2:6" ht="18" thickTop="1" thickBot="1">
      <c r="B1760" s="37" t="s">
        <v>38</v>
      </c>
      <c r="C1760" s="8"/>
      <c r="D1760" s="8"/>
      <c r="E1760" s="8"/>
    </row>
    <row r="1761" spans="2:6" ht="18" thickTop="1" thickBot="1">
      <c r="B1761" s="8"/>
      <c r="C1761" s="8"/>
      <c r="D1761" s="8"/>
      <c r="E1761" s="8"/>
    </row>
    <row r="1762" spans="2:6" ht="17" thickTop="1">
      <c r="B1762" s="38"/>
      <c r="C1762" s="13"/>
      <c r="D1762" s="13"/>
      <c r="E1762" s="39"/>
      <c r="F1762" s="40"/>
    </row>
    <row r="1763" spans="2:6" ht="16">
      <c r="B1763" s="38"/>
      <c r="C1763" s="13"/>
      <c r="D1763" s="13"/>
      <c r="E1763" s="41"/>
      <c r="F1763" s="42"/>
    </row>
    <row r="1764" spans="2:6" ht="16">
      <c r="B1764" s="38"/>
      <c r="C1764" s="13"/>
      <c r="D1764" s="13"/>
      <c r="E1764" s="41"/>
      <c r="F1764" s="42"/>
    </row>
    <row r="1765" spans="2:6" ht="17" thickBot="1">
      <c r="B1765" s="54"/>
      <c r="C1765" s="35"/>
      <c r="D1765" s="35"/>
      <c r="E1765" s="44"/>
      <c r="F1765" s="45"/>
    </row>
    <row r="1766" spans="2:6" ht="17" thickTop="1">
      <c r="B1766" s="46"/>
      <c r="C1766" s="46"/>
      <c r="D1766" s="46"/>
      <c r="E1766" s="47"/>
      <c r="F1766" s="47"/>
    </row>
    <row r="1767" spans="2:6" ht="14" thickBot="1">
      <c r="B1767" s="1" t="s">
        <v>0</v>
      </c>
      <c r="C1767" s="1"/>
    </row>
    <row r="1768" spans="2:6" ht="17" thickBot="1">
      <c r="B1768" s="1" t="s">
        <v>1</v>
      </c>
      <c r="C1768" s="1"/>
      <c r="E1768" s="4" t="s">
        <v>2</v>
      </c>
      <c r="F1768" s="5"/>
    </row>
    <row r="1769" spans="2:6">
      <c r="B1769" s="6"/>
    </row>
    <row r="1770" spans="2:6" ht="16">
      <c r="B1770" s="7" t="s">
        <v>3</v>
      </c>
      <c r="C1770" s="7"/>
      <c r="D1770" s="7"/>
      <c r="E1770" s="7"/>
      <c r="F1770" s="7"/>
    </row>
    <row r="1771" spans="2:6" ht="16">
      <c r="B1771" s="8"/>
      <c r="C1771" s="8"/>
      <c r="D1771" s="8"/>
      <c r="E1771" s="8"/>
    </row>
    <row r="1772" spans="2:6" ht="25" customHeight="1">
      <c r="B1772" s="9" t="s">
        <v>4</v>
      </c>
      <c r="C1772" s="10" t="str">
        <f>C1658</f>
        <v>MEJORAMIENTO ESPACIO PUBLICO JJVV LUCILA GODOY ALCAYAGA</v>
      </c>
      <c r="D1772" s="10"/>
      <c r="E1772" s="10"/>
      <c r="F1772" s="11"/>
    </row>
    <row r="1773" spans="2:6" ht="16">
      <c r="B1773" s="12"/>
      <c r="C1773" s="8"/>
      <c r="D1773" s="8"/>
      <c r="E1773" s="8"/>
    </row>
    <row r="1774" spans="2:6" ht="16">
      <c r="B1774" s="9" t="s">
        <v>5</v>
      </c>
      <c r="C1774" s="13" t="s">
        <v>6</v>
      </c>
      <c r="D1774" s="13"/>
      <c r="E1774" s="13"/>
      <c r="F1774" s="14"/>
    </row>
    <row r="1775" spans="2:6" ht="16">
      <c r="B1775" s="9"/>
      <c r="C1775" s="13"/>
      <c r="D1775" s="13"/>
      <c r="E1775" s="13"/>
      <c r="F1775" s="14"/>
    </row>
    <row r="1776" spans="2:6" ht="16">
      <c r="B1776" s="9" t="s">
        <v>7</v>
      </c>
      <c r="C1776" s="13" t="str">
        <f>[1]LGA!A49</f>
        <v>2.5.4</v>
      </c>
      <c r="D1776" s="13"/>
      <c r="E1776" s="13"/>
      <c r="F1776" s="14"/>
    </row>
    <row r="1777" spans="2:6" ht="16">
      <c r="B1777" s="9" t="s">
        <v>8</v>
      </c>
      <c r="C1777" s="13" t="s">
        <v>100</v>
      </c>
      <c r="D1777" s="13"/>
      <c r="E1777" s="13"/>
      <c r="F1777" s="14"/>
    </row>
    <row r="1778" spans="2:6" ht="16">
      <c r="B1778" s="9" t="s">
        <v>10</v>
      </c>
      <c r="C1778" s="13" t="s">
        <v>87</v>
      </c>
      <c r="D1778" s="13"/>
      <c r="E1778" s="13"/>
      <c r="F1778" s="14"/>
    </row>
    <row r="1779" spans="2:6" ht="16">
      <c r="B1779" s="9" t="s">
        <v>12</v>
      </c>
      <c r="C1779" s="15">
        <f>C1665</f>
        <v>46024</v>
      </c>
      <c r="D1779" s="13"/>
      <c r="E1779" s="13"/>
      <c r="F1779" s="14"/>
    </row>
    <row r="1780" spans="2:6" ht="17" thickBot="1">
      <c r="B1780" s="8"/>
      <c r="C1780" s="8"/>
      <c r="D1780" s="8"/>
      <c r="E1780" s="8"/>
    </row>
    <row r="1781" spans="2:6" ht="15" thickTop="1" thickBot="1">
      <c r="B1781" s="16" t="s">
        <v>13</v>
      </c>
      <c r="C1781" s="17" t="s">
        <v>14</v>
      </c>
      <c r="D1781" s="17" t="s">
        <v>15</v>
      </c>
      <c r="E1781" s="17" t="s">
        <v>16</v>
      </c>
      <c r="F1781" s="18" t="s">
        <v>17</v>
      </c>
    </row>
    <row r="1782" spans="2:6" ht="14" thickTop="1">
      <c r="B1782" s="19"/>
      <c r="C1782" s="19"/>
      <c r="D1782" s="19"/>
      <c r="E1782" s="19"/>
      <c r="F1782" s="19"/>
    </row>
    <row r="1783" spans="2:6">
      <c r="B1783" s="20" t="s">
        <v>101</v>
      </c>
      <c r="C1783" s="21" t="s">
        <v>102</v>
      </c>
      <c r="D1783" s="21">
        <v>4.5999999999999999E-2</v>
      </c>
      <c r="E1783" s="22">
        <v>5200</v>
      </c>
      <c r="F1783" s="22">
        <f t="shared" ref="F1783:F1788" si="28">E1783*D1783</f>
        <v>239.2</v>
      </c>
    </row>
    <row r="1784" spans="2:6">
      <c r="B1784" s="20"/>
      <c r="C1784" s="21"/>
      <c r="D1784" s="21"/>
      <c r="E1784" s="22"/>
      <c r="F1784" s="22">
        <f t="shared" si="28"/>
        <v>0</v>
      </c>
    </row>
    <row r="1785" spans="2:6">
      <c r="B1785" s="20"/>
      <c r="C1785" s="21"/>
      <c r="D1785" s="21"/>
      <c r="E1785" s="22"/>
      <c r="F1785" s="22">
        <f t="shared" si="28"/>
        <v>0</v>
      </c>
    </row>
    <row r="1786" spans="2:6">
      <c r="B1786" s="20"/>
      <c r="C1786" s="21"/>
      <c r="D1786" s="21"/>
      <c r="E1786" s="22"/>
      <c r="F1786" s="22">
        <f t="shared" si="28"/>
        <v>0</v>
      </c>
    </row>
    <row r="1787" spans="2:6">
      <c r="B1787" s="20"/>
      <c r="C1787" s="21"/>
      <c r="D1787" s="21"/>
      <c r="E1787" s="22"/>
      <c r="F1787" s="22">
        <f t="shared" si="28"/>
        <v>0</v>
      </c>
    </row>
    <row r="1788" spans="2:6">
      <c r="B1788" s="20"/>
      <c r="C1788" s="21"/>
      <c r="D1788" s="21"/>
      <c r="E1788" s="22"/>
      <c r="F1788" s="22">
        <f t="shared" si="28"/>
        <v>0</v>
      </c>
    </row>
    <row r="1789" spans="2:6" ht="17" thickBot="1">
      <c r="B1789" s="6" t="s">
        <v>19</v>
      </c>
      <c r="C1789" s="8"/>
      <c r="D1789" s="8"/>
      <c r="E1789" s="8"/>
      <c r="F1789" s="23">
        <f>SUM(F1783:F1788)</f>
        <v>239.2</v>
      </c>
    </row>
    <row r="1790" spans="2:6" ht="17" thickBot="1">
      <c r="B1790" s="8"/>
      <c r="C1790" s="8"/>
      <c r="D1790" s="8"/>
      <c r="E1790" s="8"/>
    </row>
    <row r="1791" spans="2:6" ht="15" thickTop="1" thickBot="1">
      <c r="B1791" s="16" t="s">
        <v>20</v>
      </c>
      <c r="C1791" s="17" t="s">
        <v>14</v>
      </c>
      <c r="D1791" s="17" t="s">
        <v>15</v>
      </c>
      <c r="E1791" s="17" t="s">
        <v>16</v>
      </c>
      <c r="F1791" s="18" t="s">
        <v>17</v>
      </c>
    </row>
    <row r="1792" spans="2:6" ht="17" thickTop="1">
      <c r="B1792" s="8"/>
      <c r="C1792" s="8"/>
      <c r="D1792" s="8"/>
      <c r="E1792" s="8"/>
    </row>
    <row r="1793" spans="2:6">
      <c r="B1793" s="24" t="s">
        <v>21</v>
      </c>
      <c r="C1793" s="20" t="s">
        <v>22</v>
      </c>
      <c r="D1793" s="20">
        <v>4.3999999999999997E-2</v>
      </c>
      <c r="E1793" s="22">
        <v>27500</v>
      </c>
      <c r="F1793" s="25">
        <f>E1793*D1793</f>
        <v>1210</v>
      </c>
    </row>
    <row r="1794" spans="2:6">
      <c r="B1794" s="20" t="s">
        <v>23</v>
      </c>
      <c r="C1794" s="20" t="s">
        <v>22</v>
      </c>
      <c r="D1794" s="20">
        <v>4.3999999999999997E-2</v>
      </c>
      <c r="E1794" s="22">
        <v>15000</v>
      </c>
      <c r="F1794" s="25">
        <f>E1794*D1794</f>
        <v>660</v>
      </c>
    </row>
    <row r="1795" spans="2:6" ht="16">
      <c r="B1795" s="26"/>
      <c r="C1795" s="26"/>
      <c r="D1795" s="26"/>
      <c r="E1795" s="26"/>
      <c r="F1795" s="25">
        <f>E1795*D1795</f>
        <v>0</v>
      </c>
    </row>
    <row r="1796" spans="2:6" ht="16">
      <c r="B1796" s="26"/>
      <c r="C1796" s="26"/>
      <c r="D1796" s="26"/>
      <c r="E1796" s="26"/>
      <c r="F1796" s="25">
        <f>E1796*D1796</f>
        <v>0</v>
      </c>
    </row>
    <row r="1797" spans="2:6" ht="16">
      <c r="B1797" s="27" t="s">
        <v>25</v>
      </c>
      <c r="C1797" s="27" t="s">
        <v>26</v>
      </c>
      <c r="D1797" s="28">
        <v>0.32</v>
      </c>
      <c r="E1797" s="29">
        <f>SUM(E1793:E1796)*D1797</f>
        <v>13600</v>
      </c>
      <c r="F1797" s="25">
        <f>SUM(F1793:F1796)*D1797</f>
        <v>598.4</v>
      </c>
    </row>
    <row r="1798" spans="2:6" ht="16">
      <c r="B1798" s="8"/>
      <c r="C1798" s="8"/>
      <c r="D1798" s="8"/>
      <c r="E1798" s="8"/>
    </row>
    <row r="1799" spans="2:6" ht="17" thickBot="1">
      <c r="B1799" s="6" t="s">
        <v>27</v>
      </c>
      <c r="C1799" s="8"/>
      <c r="D1799" s="8"/>
      <c r="E1799" s="8"/>
      <c r="F1799" s="23">
        <f>SUM(F1793:F1798)</f>
        <v>2468.4</v>
      </c>
    </row>
    <row r="1800" spans="2:6" ht="17" thickBot="1">
      <c r="B1800" s="8"/>
      <c r="C1800" s="8"/>
      <c r="D1800" s="8"/>
      <c r="E1800" s="8"/>
    </row>
    <row r="1801" spans="2:6" ht="15" thickTop="1" thickBot="1">
      <c r="B1801" s="16" t="s">
        <v>28</v>
      </c>
      <c r="C1801" s="17" t="s">
        <v>14</v>
      </c>
      <c r="D1801" s="17" t="s">
        <v>15</v>
      </c>
      <c r="E1801" s="17" t="s">
        <v>16</v>
      </c>
      <c r="F1801" s="18" t="s">
        <v>17</v>
      </c>
    </row>
    <row r="1802" spans="2:6" ht="17" thickTop="1">
      <c r="B1802" s="8"/>
      <c r="C1802" s="8"/>
      <c r="D1802" s="8"/>
      <c r="E1802" s="8"/>
    </row>
    <row r="1803" spans="2:6">
      <c r="B1803" s="20"/>
      <c r="C1803" s="20"/>
      <c r="D1803" s="20"/>
      <c r="E1803" s="22"/>
      <c r="F1803" s="25">
        <f>E1803*D1803</f>
        <v>0</v>
      </c>
    </row>
    <row r="1804" spans="2:6">
      <c r="B1804" s="20" t="s">
        <v>31</v>
      </c>
      <c r="C1804" s="20" t="s">
        <v>32</v>
      </c>
      <c r="D1804" s="68">
        <v>0.01</v>
      </c>
      <c r="E1804" s="22">
        <v>25000</v>
      </c>
      <c r="F1804" s="25">
        <f>E1804*D1804</f>
        <v>250</v>
      </c>
    </row>
    <row r="1805" spans="2:6" ht="16">
      <c r="B1805" s="26"/>
      <c r="C1805" s="26"/>
      <c r="D1805" s="26"/>
      <c r="E1805" s="26"/>
      <c r="F1805" s="25">
        <f>E1805*D1805</f>
        <v>0</v>
      </c>
    </row>
    <row r="1806" spans="2:6" ht="16">
      <c r="B1806" s="26"/>
      <c r="C1806" s="26"/>
      <c r="D1806" s="26"/>
      <c r="E1806" s="26"/>
      <c r="F1806" s="25">
        <f>E1806*D1806</f>
        <v>0</v>
      </c>
    </row>
    <row r="1807" spans="2:6" ht="16">
      <c r="B1807" s="30"/>
      <c r="C1807" s="26"/>
      <c r="D1807" s="26"/>
      <c r="E1807" s="26"/>
      <c r="F1807" s="25">
        <f>E1807*D1807</f>
        <v>0</v>
      </c>
    </row>
    <row r="1808" spans="2:6" ht="16">
      <c r="B1808" s="8"/>
      <c r="C1808" s="8"/>
      <c r="D1808" s="8"/>
      <c r="E1808" s="8"/>
    </row>
    <row r="1809" spans="2:6" ht="14" thickBot="1">
      <c r="B1809" s="19" t="s">
        <v>33</v>
      </c>
      <c r="C1809" s="19"/>
      <c r="D1809" s="19"/>
      <c r="E1809" s="19"/>
      <c r="F1809" s="23">
        <f>SUM(F1803:F1808)</f>
        <v>250</v>
      </c>
    </row>
    <row r="1810" spans="2:6" ht="16">
      <c r="B1810" s="8"/>
      <c r="C1810" s="8"/>
      <c r="D1810" s="8"/>
      <c r="E1810" s="8"/>
    </row>
    <row r="1811" spans="2:6" ht="17" thickBot="1">
      <c r="B1811" s="8"/>
      <c r="C1811" s="8"/>
      <c r="D1811" s="8"/>
      <c r="E1811" s="8"/>
    </row>
    <row r="1812" spans="2:6" ht="17" thickBot="1">
      <c r="B1812" s="31" t="s">
        <v>34</v>
      </c>
      <c r="C1812" s="13"/>
      <c r="D1812" s="13"/>
      <c r="E1812" s="13"/>
      <c r="F1812" s="32">
        <f>F1789+F1799+F1809</f>
        <v>2957.6</v>
      </c>
    </row>
    <row r="1813" spans="2:6" ht="17" thickBot="1">
      <c r="B1813" s="31" t="s">
        <v>35</v>
      </c>
      <c r="C1813" s="13"/>
      <c r="D1813" s="13"/>
      <c r="E1813" s="33">
        <f>E1699</f>
        <v>0.1</v>
      </c>
      <c r="F1813" s="32">
        <f>F1812*E1813</f>
        <v>295.76</v>
      </c>
    </row>
    <row r="1814" spans="2:6" ht="17" thickBot="1">
      <c r="B1814" s="31" t="s">
        <v>36</v>
      </c>
      <c r="C1814" s="13"/>
      <c r="D1814" s="13"/>
      <c r="E1814" s="33">
        <f>E1700</f>
        <v>0.1</v>
      </c>
      <c r="F1814" s="32">
        <f>F1812*E1814</f>
        <v>295.76</v>
      </c>
    </row>
    <row r="1815" spans="2:6" ht="17" thickBot="1">
      <c r="B1815" s="34" t="s">
        <v>37</v>
      </c>
      <c r="C1815" s="35"/>
      <c r="D1815" s="35"/>
      <c r="E1815" s="35"/>
      <c r="F1815" s="32">
        <f>SUM(F1812:F1814)</f>
        <v>3549.12</v>
      </c>
    </row>
    <row r="1816" spans="2:6" ht="17" thickBot="1">
      <c r="B1816" s="36"/>
      <c r="C1816" s="8"/>
      <c r="D1816" s="8"/>
      <c r="E1816" s="8"/>
    </row>
    <row r="1817" spans="2:6" ht="18" thickTop="1" thickBot="1">
      <c r="B1817" s="37" t="s">
        <v>38</v>
      </c>
      <c r="C1817" s="8"/>
      <c r="D1817" s="8"/>
      <c r="E1817" s="8"/>
    </row>
    <row r="1818" spans="2:6" ht="18" thickTop="1" thickBot="1">
      <c r="B1818" s="8"/>
      <c r="C1818" s="8"/>
      <c r="D1818" s="8"/>
      <c r="E1818" s="8"/>
    </row>
    <row r="1819" spans="2:6" ht="17" thickTop="1">
      <c r="B1819" s="38"/>
      <c r="C1819" s="13"/>
      <c r="D1819" s="13"/>
      <c r="E1819" s="39"/>
      <c r="F1819" s="40"/>
    </row>
    <row r="1820" spans="2:6" ht="16">
      <c r="B1820" s="38"/>
      <c r="C1820" s="13"/>
      <c r="D1820" s="13"/>
      <c r="E1820" s="41"/>
      <c r="F1820" s="42"/>
    </row>
    <row r="1821" spans="2:6" ht="16">
      <c r="B1821" s="38"/>
      <c r="C1821" s="13"/>
      <c r="D1821" s="13"/>
      <c r="E1821" s="41"/>
      <c r="F1821" s="42"/>
    </row>
    <row r="1822" spans="2:6" ht="17" thickBot="1">
      <c r="B1822" s="54"/>
      <c r="C1822" s="35"/>
      <c r="D1822" s="35"/>
      <c r="E1822" s="44"/>
      <c r="F1822" s="45"/>
    </row>
    <row r="1823" spans="2:6" ht="17" thickTop="1">
      <c r="B1823" s="46"/>
      <c r="C1823" s="46"/>
      <c r="D1823" s="46"/>
      <c r="E1823" s="47"/>
      <c r="F1823" s="47"/>
    </row>
    <row r="1824" spans="2:6" ht="16">
      <c r="B1824" s="46"/>
      <c r="C1824" s="46"/>
      <c r="D1824" s="46"/>
      <c r="E1824" s="47"/>
      <c r="F1824" s="47"/>
    </row>
    <row r="1825" spans="2:6" ht="14" thickBot="1">
      <c r="B1825" s="1" t="s">
        <v>0</v>
      </c>
      <c r="C1825" s="1"/>
    </row>
    <row r="1826" spans="2:6" ht="17" thickBot="1">
      <c r="B1826" s="1" t="s">
        <v>1</v>
      </c>
      <c r="C1826" s="1"/>
      <c r="E1826" s="4" t="s">
        <v>2</v>
      </c>
      <c r="F1826" s="5"/>
    </row>
    <row r="1827" spans="2:6">
      <c r="B1827" s="6"/>
    </row>
    <row r="1828" spans="2:6" ht="16">
      <c r="B1828" s="7" t="s">
        <v>3</v>
      </c>
      <c r="C1828" s="7"/>
      <c r="D1828" s="7"/>
      <c r="E1828" s="7"/>
      <c r="F1828" s="7"/>
    </row>
    <row r="1829" spans="2:6" ht="16">
      <c r="B1829" s="8"/>
      <c r="C1829" s="8"/>
      <c r="D1829" s="8"/>
      <c r="E1829" s="8"/>
    </row>
    <row r="1830" spans="2:6" ht="16">
      <c r="B1830" s="9" t="s">
        <v>4</v>
      </c>
      <c r="C1830" s="13" t="str">
        <f>C1658</f>
        <v>MEJORAMIENTO ESPACIO PUBLICO JJVV LUCILA GODOY ALCAYAGA</v>
      </c>
      <c r="D1830" s="13"/>
      <c r="E1830" s="13"/>
      <c r="F1830" s="14"/>
    </row>
    <row r="1831" spans="2:6" ht="16">
      <c r="B1831" s="12"/>
      <c r="C1831" s="8"/>
      <c r="D1831" s="8"/>
      <c r="E1831" s="8"/>
    </row>
    <row r="1832" spans="2:6" ht="16">
      <c r="B1832" s="9" t="s">
        <v>5</v>
      </c>
      <c r="C1832" s="13" t="s">
        <v>6</v>
      </c>
      <c r="D1832" s="13"/>
      <c r="E1832" s="13"/>
      <c r="F1832" s="14"/>
    </row>
    <row r="1833" spans="2:6" ht="16">
      <c r="B1833" s="9"/>
      <c r="C1833" s="13"/>
      <c r="D1833" s="13"/>
      <c r="E1833" s="13"/>
      <c r="F1833" s="14"/>
    </row>
    <row r="1834" spans="2:6" ht="16">
      <c r="B1834" s="9" t="s">
        <v>7</v>
      </c>
      <c r="C1834" s="13" t="str">
        <f>[1]LGA!A50</f>
        <v>2.5.5</v>
      </c>
      <c r="D1834" s="13"/>
      <c r="E1834" s="13"/>
      <c r="F1834" s="14"/>
    </row>
    <row r="1835" spans="2:6" ht="16">
      <c r="B1835" s="9" t="s">
        <v>8</v>
      </c>
      <c r="C1835" s="13" t="s">
        <v>103</v>
      </c>
      <c r="D1835" s="13"/>
      <c r="E1835" s="13"/>
      <c r="F1835" s="14"/>
    </row>
    <row r="1836" spans="2:6" ht="16">
      <c r="B1836" s="9" t="s">
        <v>10</v>
      </c>
      <c r="C1836" s="13" t="s">
        <v>87</v>
      </c>
      <c r="D1836" s="13"/>
      <c r="E1836" s="13"/>
      <c r="F1836" s="14"/>
    </row>
    <row r="1837" spans="2:6" ht="16">
      <c r="B1837" s="9" t="s">
        <v>12</v>
      </c>
      <c r="C1837" s="15">
        <f>C1665</f>
        <v>46024</v>
      </c>
      <c r="D1837" s="13"/>
      <c r="E1837" s="13"/>
      <c r="F1837" s="14"/>
    </row>
    <row r="1838" spans="2:6" ht="17" thickBot="1">
      <c r="B1838" s="8"/>
      <c r="C1838" s="8"/>
      <c r="D1838" s="8"/>
      <c r="E1838" s="8"/>
    </row>
    <row r="1839" spans="2:6" ht="15" thickTop="1" thickBot="1">
      <c r="B1839" s="16" t="s">
        <v>13</v>
      </c>
      <c r="C1839" s="17" t="s">
        <v>14</v>
      </c>
      <c r="D1839" s="17" t="s">
        <v>15</v>
      </c>
      <c r="E1839" s="17" t="s">
        <v>16</v>
      </c>
      <c r="F1839" s="18" t="s">
        <v>17</v>
      </c>
    </row>
    <row r="1840" spans="2:6" ht="14" thickTop="1">
      <c r="B1840" s="19"/>
      <c r="C1840" s="19"/>
      <c r="D1840" s="19"/>
      <c r="E1840" s="19"/>
      <c r="F1840" s="19"/>
    </row>
    <row r="1841" spans="2:6">
      <c r="B1841" s="20" t="s">
        <v>104</v>
      </c>
      <c r="C1841" s="21" t="s">
        <v>81</v>
      </c>
      <c r="D1841" s="21">
        <v>1.1299999999999999</v>
      </c>
      <c r="E1841" s="22">
        <v>120000</v>
      </c>
      <c r="F1841" s="22">
        <f t="shared" ref="F1841:F1846" si="29">E1841*D1841</f>
        <v>135600</v>
      </c>
    </row>
    <row r="1842" spans="2:6">
      <c r="B1842" s="20"/>
      <c r="C1842" s="21"/>
      <c r="D1842" s="21"/>
      <c r="E1842" s="22"/>
      <c r="F1842" s="22">
        <f t="shared" si="29"/>
        <v>0</v>
      </c>
    </row>
    <row r="1843" spans="2:6">
      <c r="B1843" s="20"/>
      <c r="C1843" s="21"/>
      <c r="D1843" s="21"/>
      <c r="E1843" s="22"/>
      <c r="F1843" s="22">
        <f t="shared" si="29"/>
        <v>0</v>
      </c>
    </row>
    <row r="1844" spans="2:6">
      <c r="B1844" s="20"/>
      <c r="C1844" s="21"/>
      <c r="D1844" s="21"/>
      <c r="E1844" s="22"/>
      <c r="F1844" s="22">
        <f t="shared" si="29"/>
        <v>0</v>
      </c>
    </row>
    <row r="1845" spans="2:6">
      <c r="B1845" s="20"/>
      <c r="C1845" s="21"/>
      <c r="D1845" s="21"/>
      <c r="E1845" s="22"/>
      <c r="F1845" s="22">
        <f t="shared" si="29"/>
        <v>0</v>
      </c>
    </row>
    <row r="1846" spans="2:6">
      <c r="B1846" s="20"/>
      <c r="C1846" s="21"/>
      <c r="D1846" s="21"/>
      <c r="E1846" s="22"/>
      <c r="F1846" s="22">
        <f t="shared" si="29"/>
        <v>0</v>
      </c>
    </row>
    <row r="1847" spans="2:6" ht="17" thickBot="1">
      <c r="B1847" s="6" t="s">
        <v>19</v>
      </c>
      <c r="C1847" s="8"/>
      <c r="D1847" s="8"/>
      <c r="E1847" s="8"/>
      <c r="F1847" s="23">
        <f>SUM(F1841:F1846)</f>
        <v>135600</v>
      </c>
    </row>
    <row r="1848" spans="2:6" ht="17" thickBot="1">
      <c r="B1848" s="8"/>
      <c r="C1848" s="8"/>
      <c r="D1848" s="8"/>
      <c r="E1848" s="8"/>
    </row>
    <row r="1849" spans="2:6" ht="15" thickTop="1" thickBot="1">
      <c r="B1849" s="16" t="s">
        <v>20</v>
      </c>
      <c r="C1849" s="17" t="s">
        <v>14</v>
      </c>
      <c r="D1849" s="17" t="s">
        <v>15</v>
      </c>
      <c r="E1849" s="17" t="s">
        <v>16</v>
      </c>
      <c r="F1849" s="18" t="s">
        <v>17</v>
      </c>
    </row>
    <row r="1850" spans="2:6" ht="17" thickTop="1">
      <c r="B1850" s="8"/>
      <c r="C1850" s="8"/>
      <c r="D1850" s="8"/>
      <c r="E1850" s="8"/>
    </row>
    <row r="1851" spans="2:6">
      <c r="B1851" s="24" t="s">
        <v>21</v>
      </c>
      <c r="C1851" s="20" t="s">
        <v>22</v>
      </c>
      <c r="D1851" s="20">
        <v>0.44</v>
      </c>
      <c r="E1851" s="22">
        <v>27500</v>
      </c>
      <c r="F1851" s="25">
        <f>E1851*D1851</f>
        <v>12100</v>
      </c>
    </row>
    <row r="1852" spans="2:6">
      <c r="B1852" s="20" t="s">
        <v>23</v>
      </c>
      <c r="C1852" s="20" t="s">
        <v>22</v>
      </c>
      <c r="D1852" s="20">
        <v>0.44</v>
      </c>
      <c r="E1852" s="22">
        <v>15000</v>
      </c>
      <c r="F1852" s="25">
        <f>E1852*D1852</f>
        <v>6600</v>
      </c>
    </row>
    <row r="1853" spans="2:6" ht="16">
      <c r="B1853" s="26"/>
      <c r="C1853" s="26"/>
      <c r="D1853" s="26"/>
      <c r="E1853" s="26"/>
      <c r="F1853" s="25">
        <f>E1853*D1853</f>
        <v>0</v>
      </c>
    </row>
    <row r="1854" spans="2:6" ht="16">
      <c r="B1854" s="26"/>
      <c r="C1854" s="26"/>
      <c r="D1854" s="26"/>
      <c r="E1854" s="26"/>
      <c r="F1854" s="25">
        <f>E1854*D1854</f>
        <v>0</v>
      </c>
    </row>
    <row r="1855" spans="2:6" ht="16">
      <c r="B1855" s="27" t="s">
        <v>25</v>
      </c>
      <c r="C1855" s="27" t="s">
        <v>26</v>
      </c>
      <c r="D1855" s="28">
        <v>0.32</v>
      </c>
      <c r="E1855" s="29">
        <f>SUM(E1851:E1854)*D1855</f>
        <v>13600</v>
      </c>
      <c r="F1855" s="25">
        <f>E1855*D1855</f>
        <v>4352</v>
      </c>
    </row>
    <row r="1856" spans="2:6" ht="16">
      <c r="B1856" s="8"/>
      <c r="C1856" s="8"/>
      <c r="D1856" s="8"/>
      <c r="E1856" s="8"/>
    </row>
    <row r="1857" spans="2:6" ht="17" thickBot="1">
      <c r="B1857" s="6" t="s">
        <v>27</v>
      </c>
      <c r="C1857" s="8"/>
      <c r="D1857" s="8"/>
      <c r="E1857" s="8"/>
      <c r="F1857" s="23">
        <f>SUM(F1851:F1856)</f>
        <v>23052</v>
      </c>
    </row>
    <row r="1858" spans="2:6" ht="17" thickBot="1">
      <c r="B1858" s="8"/>
      <c r="C1858" s="8"/>
      <c r="D1858" s="8"/>
      <c r="E1858" s="8"/>
    </row>
    <row r="1859" spans="2:6" ht="15" thickTop="1" thickBot="1">
      <c r="B1859" s="16" t="s">
        <v>28</v>
      </c>
      <c r="C1859" s="17" t="s">
        <v>14</v>
      </c>
      <c r="D1859" s="17" t="s">
        <v>15</v>
      </c>
      <c r="E1859" s="17" t="s">
        <v>16</v>
      </c>
      <c r="F1859" s="18" t="s">
        <v>17</v>
      </c>
    </row>
    <row r="1860" spans="2:6" ht="17" thickTop="1">
      <c r="B1860" s="8"/>
      <c r="C1860" s="8"/>
      <c r="D1860" s="8"/>
      <c r="E1860" s="8"/>
    </row>
    <row r="1861" spans="2:6">
      <c r="B1861" s="20"/>
      <c r="C1861" s="20"/>
      <c r="D1861" s="20"/>
      <c r="E1861" s="22"/>
      <c r="F1861" s="25">
        <f>E1861*D1861</f>
        <v>0</v>
      </c>
    </row>
    <row r="1862" spans="2:6">
      <c r="B1862" s="20" t="s">
        <v>105</v>
      </c>
      <c r="C1862" s="20" t="s">
        <v>32</v>
      </c>
      <c r="D1862" s="68">
        <v>0.1</v>
      </c>
      <c r="E1862" s="22">
        <v>25000</v>
      </c>
      <c r="F1862" s="25">
        <f>E1862*D1862</f>
        <v>2500</v>
      </c>
    </row>
    <row r="1863" spans="2:6">
      <c r="B1863" s="20" t="s">
        <v>106</v>
      </c>
      <c r="C1863" s="20" t="s">
        <v>32</v>
      </c>
      <c r="D1863" s="68">
        <v>0.1</v>
      </c>
      <c r="E1863" s="22">
        <v>86000</v>
      </c>
      <c r="F1863" s="25">
        <f>E1863*D1863</f>
        <v>8600</v>
      </c>
    </row>
    <row r="1864" spans="2:6">
      <c r="B1864" s="20" t="s">
        <v>51</v>
      </c>
      <c r="C1864" s="20" t="s">
        <v>32</v>
      </c>
      <c r="D1864" s="68">
        <v>0.1</v>
      </c>
      <c r="E1864" s="22">
        <v>24000</v>
      </c>
      <c r="F1864" s="25">
        <f>E1864*D1864</f>
        <v>2400</v>
      </c>
    </row>
    <row r="1865" spans="2:6" ht="16">
      <c r="B1865" s="30"/>
      <c r="C1865" s="26"/>
      <c r="D1865" s="26"/>
      <c r="E1865" s="26"/>
      <c r="F1865" s="25">
        <f>E1865*D1865</f>
        <v>0</v>
      </c>
    </row>
    <row r="1866" spans="2:6" ht="16">
      <c r="B1866" s="8"/>
      <c r="C1866" s="8"/>
      <c r="D1866" s="8"/>
      <c r="E1866" s="8"/>
    </row>
    <row r="1867" spans="2:6" ht="14" thickBot="1">
      <c r="B1867" s="19" t="s">
        <v>33</v>
      </c>
      <c r="C1867" s="19"/>
      <c r="D1867" s="19"/>
      <c r="E1867" s="19"/>
      <c r="F1867" s="23">
        <f>SUM(F1861:F1866)</f>
        <v>13500</v>
      </c>
    </row>
    <row r="1868" spans="2:6" ht="16">
      <c r="B1868" s="8"/>
      <c r="C1868" s="8"/>
      <c r="D1868" s="8"/>
      <c r="E1868" s="8"/>
    </row>
    <row r="1869" spans="2:6" ht="17" thickBot="1">
      <c r="B1869" s="8"/>
      <c r="C1869" s="8"/>
      <c r="D1869" s="8"/>
      <c r="E1869" s="8"/>
    </row>
    <row r="1870" spans="2:6" ht="17" thickBot="1">
      <c r="B1870" s="31" t="s">
        <v>34</v>
      </c>
      <c r="C1870" s="13"/>
      <c r="D1870" s="13"/>
      <c r="E1870" s="13"/>
      <c r="F1870" s="32">
        <f>F1847+F1857+F1867</f>
        <v>172152</v>
      </c>
    </row>
    <row r="1871" spans="2:6" ht="17" thickBot="1">
      <c r="B1871" s="31" t="s">
        <v>35</v>
      </c>
      <c r="C1871" s="13"/>
      <c r="D1871" s="13"/>
      <c r="E1871" s="33">
        <v>0.1</v>
      </c>
      <c r="F1871" s="32">
        <f>F1870*E1871</f>
        <v>17215.2</v>
      </c>
    </row>
    <row r="1872" spans="2:6" ht="17" thickBot="1">
      <c r="B1872" s="31" t="s">
        <v>36</v>
      </c>
      <c r="C1872" s="13"/>
      <c r="D1872" s="13"/>
      <c r="E1872" s="33">
        <v>0.1</v>
      </c>
      <c r="F1872" s="32">
        <f>F1870*E1872</f>
        <v>17215.2</v>
      </c>
    </row>
    <row r="1873" spans="2:6" ht="17" thickBot="1">
      <c r="B1873" s="34" t="s">
        <v>37</v>
      </c>
      <c r="C1873" s="35"/>
      <c r="D1873" s="35"/>
      <c r="E1873" s="35"/>
      <c r="F1873" s="32">
        <f>SUM(F1870:F1872)</f>
        <v>206582.40000000002</v>
      </c>
    </row>
    <row r="1874" spans="2:6" ht="17" thickBot="1">
      <c r="B1874" s="36"/>
      <c r="C1874" s="8"/>
      <c r="D1874" s="8"/>
      <c r="E1874" s="8"/>
    </row>
    <row r="1875" spans="2:6" ht="18" thickTop="1" thickBot="1">
      <c r="B1875" s="37" t="s">
        <v>38</v>
      </c>
      <c r="C1875" s="8"/>
      <c r="D1875" s="8"/>
      <c r="E1875" s="8"/>
    </row>
    <row r="1876" spans="2:6" ht="18" thickTop="1" thickBot="1">
      <c r="B1876" s="8"/>
      <c r="C1876" s="8"/>
      <c r="D1876" s="8"/>
      <c r="E1876" s="8"/>
    </row>
    <row r="1877" spans="2:6" ht="17" thickTop="1">
      <c r="B1877" s="38"/>
      <c r="C1877" s="13"/>
      <c r="D1877" s="13"/>
      <c r="E1877" s="39"/>
      <c r="F1877" s="40"/>
    </row>
    <row r="1878" spans="2:6" ht="16">
      <c r="B1878" s="38"/>
      <c r="C1878" s="13"/>
      <c r="D1878" s="13"/>
      <c r="E1878" s="41"/>
      <c r="F1878" s="42"/>
    </row>
    <row r="1879" spans="2:6" ht="16">
      <c r="B1879" s="38"/>
      <c r="C1879" s="13"/>
      <c r="D1879" s="13"/>
      <c r="E1879" s="41"/>
      <c r="F1879" s="42"/>
    </row>
    <row r="1880" spans="2:6" ht="17" thickBot="1">
      <c r="B1880" s="54"/>
      <c r="C1880" s="35"/>
      <c r="D1880" s="35"/>
      <c r="E1880" s="44"/>
      <c r="F1880" s="45"/>
    </row>
    <row r="1881" spans="2:6" ht="17" thickTop="1">
      <c r="B1881" s="46"/>
      <c r="C1881" s="46"/>
      <c r="D1881" s="46"/>
      <c r="E1881" s="47"/>
      <c r="F1881" s="47"/>
    </row>
    <row r="1882" spans="2:6" ht="14" thickBot="1">
      <c r="B1882" s="1" t="s">
        <v>0</v>
      </c>
      <c r="C1882" s="1"/>
    </row>
    <row r="1883" spans="2:6" ht="17" thickBot="1">
      <c r="B1883" s="1" t="s">
        <v>1</v>
      </c>
      <c r="C1883" s="1"/>
      <c r="E1883" s="4" t="s">
        <v>2</v>
      </c>
      <c r="F1883" s="5"/>
    </row>
    <row r="1884" spans="2:6">
      <c r="B1884" s="6"/>
    </row>
    <row r="1885" spans="2:6" ht="16">
      <c r="B1885" s="7" t="s">
        <v>3</v>
      </c>
      <c r="C1885" s="7"/>
      <c r="D1885" s="7"/>
      <c r="E1885" s="7"/>
      <c r="F1885" s="7"/>
    </row>
    <row r="1886" spans="2:6" ht="16">
      <c r="B1886" s="8"/>
      <c r="C1886" s="8"/>
      <c r="D1886" s="8"/>
      <c r="E1886" s="8"/>
    </row>
    <row r="1887" spans="2:6" ht="26" customHeight="1">
      <c r="B1887" s="9" t="s">
        <v>4</v>
      </c>
      <c r="C1887" s="10" t="str">
        <f>C1830</f>
        <v>MEJORAMIENTO ESPACIO PUBLICO JJVV LUCILA GODOY ALCAYAGA</v>
      </c>
      <c r="D1887" s="10"/>
      <c r="E1887" s="10"/>
      <c r="F1887" s="11"/>
    </row>
    <row r="1888" spans="2:6" ht="16">
      <c r="B1888" s="12"/>
      <c r="C1888" s="8"/>
      <c r="D1888" s="8"/>
      <c r="E1888" s="8"/>
    </row>
    <row r="1889" spans="2:6" ht="16">
      <c r="B1889" s="9" t="s">
        <v>5</v>
      </c>
      <c r="C1889" s="13" t="s">
        <v>6</v>
      </c>
      <c r="D1889" s="13"/>
      <c r="E1889" s="13"/>
      <c r="F1889" s="14"/>
    </row>
    <row r="1890" spans="2:6" ht="16">
      <c r="B1890" s="9"/>
      <c r="C1890" s="13"/>
      <c r="D1890" s="13"/>
      <c r="E1890" s="13"/>
      <c r="F1890" s="14"/>
    </row>
    <row r="1891" spans="2:6" ht="16">
      <c r="B1891" s="9" t="s">
        <v>7</v>
      </c>
      <c r="C1891" s="13" t="str">
        <f>[1]LGA!A51</f>
        <v>2.5.6</v>
      </c>
      <c r="D1891" s="13"/>
      <c r="E1891" s="13"/>
      <c r="F1891" s="14"/>
    </row>
    <row r="1892" spans="2:6" ht="16">
      <c r="B1892" s="9" t="s">
        <v>8</v>
      </c>
      <c r="C1892" s="13" t="s">
        <v>107</v>
      </c>
      <c r="D1892" s="13"/>
      <c r="E1892" s="13"/>
      <c r="F1892" s="14"/>
    </row>
    <row r="1893" spans="2:6" ht="16">
      <c r="B1893" s="9" t="s">
        <v>10</v>
      </c>
      <c r="C1893" s="13" t="s">
        <v>102</v>
      </c>
      <c r="D1893" s="13"/>
      <c r="E1893" s="13"/>
      <c r="F1893" s="14"/>
    </row>
    <row r="1894" spans="2:6" ht="16">
      <c r="B1894" s="9" t="s">
        <v>12</v>
      </c>
      <c r="C1894" s="15">
        <f>C1837</f>
        <v>46024</v>
      </c>
      <c r="D1894" s="13"/>
      <c r="E1894" s="13"/>
      <c r="F1894" s="14"/>
    </row>
    <row r="1895" spans="2:6" ht="17" thickBot="1">
      <c r="B1895" s="8"/>
      <c r="C1895" s="8"/>
      <c r="D1895" s="8"/>
      <c r="E1895" s="8"/>
    </row>
    <row r="1896" spans="2:6" ht="15" thickTop="1" thickBot="1">
      <c r="B1896" s="16" t="s">
        <v>13</v>
      </c>
      <c r="C1896" s="17" t="s">
        <v>14</v>
      </c>
      <c r="D1896" s="17" t="s">
        <v>15</v>
      </c>
      <c r="E1896" s="17" t="s">
        <v>16</v>
      </c>
      <c r="F1896" s="18" t="s">
        <v>17</v>
      </c>
    </row>
    <row r="1897" spans="2:6" ht="14" thickTop="1">
      <c r="B1897" s="19"/>
      <c r="C1897" s="19"/>
      <c r="D1897" s="19"/>
      <c r="E1897" s="19"/>
      <c r="F1897" s="19"/>
    </row>
    <row r="1898" spans="2:6">
      <c r="B1898" s="20" t="s">
        <v>108</v>
      </c>
      <c r="C1898" s="21" t="s">
        <v>43</v>
      </c>
      <c r="D1898" s="21">
        <v>0.02</v>
      </c>
      <c r="E1898" s="22">
        <v>45000</v>
      </c>
      <c r="F1898" s="22">
        <f t="shared" ref="F1898:F1903" si="30">E1898*D1898</f>
        <v>900</v>
      </c>
    </row>
    <row r="1899" spans="2:6">
      <c r="B1899" s="20" t="s">
        <v>109</v>
      </c>
      <c r="C1899" s="21" t="s">
        <v>43</v>
      </c>
      <c r="D1899" s="21">
        <v>0.1</v>
      </c>
      <c r="E1899" s="22">
        <v>1200</v>
      </c>
      <c r="F1899" s="22">
        <f t="shared" si="30"/>
        <v>120</v>
      </c>
    </row>
    <row r="1900" spans="2:6">
      <c r="B1900" s="20" t="s">
        <v>110</v>
      </c>
      <c r="C1900" s="21" t="s">
        <v>49</v>
      </c>
      <c r="D1900" s="21">
        <v>0.01</v>
      </c>
      <c r="E1900" s="22">
        <v>35000</v>
      </c>
      <c r="F1900" s="22">
        <f t="shared" si="30"/>
        <v>350</v>
      </c>
    </row>
    <row r="1901" spans="2:6">
      <c r="B1901" s="20"/>
      <c r="C1901" s="21"/>
      <c r="D1901" s="21"/>
      <c r="E1901" s="22"/>
      <c r="F1901" s="22">
        <f t="shared" si="30"/>
        <v>0</v>
      </c>
    </row>
    <row r="1902" spans="2:6">
      <c r="B1902" s="20"/>
      <c r="C1902" s="21"/>
      <c r="D1902" s="21"/>
      <c r="E1902" s="22"/>
      <c r="F1902" s="22">
        <f t="shared" si="30"/>
        <v>0</v>
      </c>
    </row>
    <row r="1903" spans="2:6">
      <c r="B1903" s="20"/>
      <c r="C1903" s="21"/>
      <c r="D1903" s="21"/>
      <c r="E1903" s="22"/>
      <c r="F1903" s="22">
        <f t="shared" si="30"/>
        <v>0</v>
      </c>
    </row>
    <row r="1904" spans="2:6" ht="17" thickBot="1">
      <c r="B1904" s="6" t="s">
        <v>19</v>
      </c>
      <c r="C1904" s="8"/>
      <c r="D1904" s="8"/>
      <c r="E1904" s="8"/>
      <c r="F1904" s="23">
        <f>SUM(F1898:F1903)</f>
        <v>1370</v>
      </c>
    </row>
    <row r="1905" spans="2:6" ht="17" thickBot="1">
      <c r="B1905" s="8"/>
      <c r="C1905" s="8"/>
      <c r="D1905" s="8"/>
      <c r="E1905" s="8"/>
    </row>
    <row r="1906" spans="2:6" ht="15" thickTop="1" thickBot="1">
      <c r="B1906" s="16" t="s">
        <v>20</v>
      </c>
      <c r="C1906" s="17" t="s">
        <v>14</v>
      </c>
      <c r="D1906" s="17" t="s">
        <v>15</v>
      </c>
      <c r="E1906" s="17" t="s">
        <v>16</v>
      </c>
      <c r="F1906" s="18" t="s">
        <v>17</v>
      </c>
    </row>
    <row r="1907" spans="2:6" ht="17" thickTop="1">
      <c r="B1907" s="8"/>
      <c r="C1907" s="8"/>
      <c r="D1907" s="8"/>
      <c r="E1907" s="8"/>
    </row>
    <row r="1908" spans="2:6">
      <c r="B1908" s="24" t="s">
        <v>21</v>
      </c>
      <c r="C1908" s="20" t="s">
        <v>22</v>
      </c>
      <c r="D1908" s="20">
        <v>4.3999999999999997E-2</v>
      </c>
      <c r="E1908" s="22">
        <v>27500</v>
      </c>
      <c r="F1908" s="25">
        <f>E1908*D1908</f>
        <v>1210</v>
      </c>
    </row>
    <row r="1909" spans="2:6">
      <c r="B1909" s="20" t="s">
        <v>23</v>
      </c>
      <c r="C1909" s="20" t="s">
        <v>22</v>
      </c>
      <c r="D1909" s="20">
        <v>4.3999999999999997E-2</v>
      </c>
      <c r="E1909" s="22">
        <v>15000</v>
      </c>
      <c r="F1909" s="25">
        <f>E1909*D1909</f>
        <v>660</v>
      </c>
    </row>
    <row r="1910" spans="2:6" ht="16">
      <c r="B1910" s="26"/>
      <c r="C1910" s="26"/>
      <c r="D1910" s="26"/>
      <c r="E1910" s="26"/>
      <c r="F1910" s="25">
        <f>E1910*D1910</f>
        <v>0</v>
      </c>
    </row>
    <row r="1911" spans="2:6" ht="16">
      <c r="B1911" s="26"/>
      <c r="C1911" s="26"/>
      <c r="D1911" s="26"/>
      <c r="E1911" s="26"/>
      <c r="F1911" s="25">
        <f>E1911*D1911</f>
        <v>0</v>
      </c>
    </row>
    <row r="1912" spans="2:6" ht="16">
      <c r="B1912" s="27" t="s">
        <v>25</v>
      </c>
      <c r="C1912" s="27" t="s">
        <v>26</v>
      </c>
      <c r="D1912" s="28">
        <v>0.32</v>
      </c>
      <c r="E1912" s="29">
        <f>SUM(E1908:E1911)*D1912</f>
        <v>13600</v>
      </c>
      <c r="F1912" s="25">
        <f>SUM(F1908:F1911)*D1912</f>
        <v>598.4</v>
      </c>
    </row>
    <row r="1913" spans="2:6" ht="16">
      <c r="B1913" s="8"/>
      <c r="C1913" s="8"/>
      <c r="D1913" s="8"/>
      <c r="E1913" s="8"/>
    </row>
    <row r="1914" spans="2:6" ht="17" thickBot="1">
      <c r="B1914" s="6" t="s">
        <v>27</v>
      </c>
      <c r="C1914" s="8"/>
      <c r="D1914" s="8"/>
      <c r="E1914" s="8"/>
      <c r="F1914" s="23">
        <f>SUM(F1908:F1913)</f>
        <v>2468.4</v>
      </c>
    </row>
    <row r="1915" spans="2:6" ht="17" thickBot="1">
      <c r="B1915" s="8"/>
      <c r="C1915" s="8"/>
      <c r="D1915" s="8"/>
      <c r="E1915" s="8"/>
    </row>
    <row r="1916" spans="2:6" ht="15" thickTop="1" thickBot="1">
      <c r="B1916" s="16" t="s">
        <v>28</v>
      </c>
      <c r="C1916" s="17" t="s">
        <v>14</v>
      </c>
      <c r="D1916" s="17" t="s">
        <v>15</v>
      </c>
      <c r="E1916" s="17" t="s">
        <v>16</v>
      </c>
      <c r="F1916" s="18" t="s">
        <v>17</v>
      </c>
    </row>
    <row r="1917" spans="2:6" ht="17" thickTop="1">
      <c r="B1917" s="8"/>
      <c r="C1917" s="8"/>
      <c r="D1917" s="8"/>
      <c r="E1917" s="8"/>
    </row>
    <row r="1918" spans="2:6">
      <c r="B1918" s="20"/>
      <c r="C1918" s="20"/>
      <c r="D1918" s="20"/>
      <c r="E1918" s="22"/>
      <c r="F1918" s="25">
        <f>E1918*D1918</f>
        <v>0</v>
      </c>
    </row>
    <row r="1919" spans="2:6">
      <c r="B1919" s="20" t="s">
        <v>31</v>
      </c>
      <c r="C1919" s="20" t="s">
        <v>32</v>
      </c>
      <c r="D1919" s="68">
        <v>0.01</v>
      </c>
      <c r="E1919" s="22">
        <v>25000</v>
      </c>
      <c r="F1919" s="25">
        <f>E1919*D1919</f>
        <v>250</v>
      </c>
    </row>
    <row r="1920" spans="2:6" ht="16">
      <c r="B1920" s="26"/>
      <c r="C1920" s="26"/>
      <c r="D1920" s="26"/>
      <c r="E1920" s="26"/>
      <c r="F1920" s="25">
        <f>E1920*D1920</f>
        <v>0</v>
      </c>
    </row>
    <row r="1921" spans="2:6" ht="16">
      <c r="B1921" s="26"/>
      <c r="C1921" s="26"/>
      <c r="D1921" s="26"/>
      <c r="E1921" s="26"/>
      <c r="F1921" s="25">
        <f>E1921*D1921</f>
        <v>0</v>
      </c>
    </row>
    <row r="1922" spans="2:6" ht="16">
      <c r="B1922" s="30"/>
      <c r="C1922" s="26"/>
      <c r="D1922" s="26"/>
      <c r="E1922" s="26"/>
      <c r="F1922" s="25">
        <f>E1922*D1922</f>
        <v>0</v>
      </c>
    </row>
    <row r="1923" spans="2:6" ht="16">
      <c r="B1923" s="8"/>
      <c r="C1923" s="8"/>
      <c r="D1923" s="8"/>
      <c r="E1923" s="8"/>
    </row>
    <row r="1924" spans="2:6" ht="14" thickBot="1">
      <c r="B1924" s="19" t="s">
        <v>33</v>
      </c>
      <c r="C1924" s="19"/>
      <c r="D1924" s="19"/>
      <c r="E1924" s="19"/>
      <c r="F1924" s="23">
        <f>SUM(F1918:F1923)</f>
        <v>250</v>
      </c>
    </row>
    <row r="1925" spans="2:6" ht="16">
      <c r="B1925" s="8"/>
      <c r="C1925" s="8"/>
      <c r="D1925" s="8"/>
      <c r="E1925" s="8"/>
    </row>
    <row r="1926" spans="2:6" ht="17" thickBot="1">
      <c r="B1926" s="8"/>
      <c r="C1926" s="8"/>
      <c r="D1926" s="8"/>
      <c r="E1926" s="8"/>
    </row>
    <row r="1927" spans="2:6" ht="17" thickBot="1">
      <c r="B1927" s="31" t="s">
        <v>34</v>
      </c>
      <c r="C1927" s="13"/>
      <c r="D1927" s="13"/>
      <c r="E1927" s="13"/>
      <c r="F1927" s="32">
        <f>F1904+F1914+F1924</f>
        <v>4088.4</v>
      </c>
    </row>
    <row r="1928" spans="2:6" ht="17" thickBot="1">
      <c r="B1928" s="31" t="s">
        <v>35</v>
      </c>
      <c r="C1928" s="13"/>
      <c r="D1928" s="13"/>
      <c r="E1928" s="33">
        <f>E1871</f>
        <v>0.1</v>
      </c>
      <c r="F1928" s="32">
        <f>F1927*E1928</f>
        <v>408.84000000000003</v>
      </c>
    </row>
    <row r="1929" spans="2:6" ht="17" thickBot="1">
      <c r="B1929" s="31" t="s">
        <v>36</v>
      </c>
      <c r="C1929" s="13"/>
      <c r="D1929" s="13"/>
      <c r="E1929" s="33">
        <f>E1872</f>
        <v>0.1</v>
      </c>
      <c r="F1929" s="32">
        <f>F1927*E1929</f>
        <v>408.84000000000003</v>
      </c>
    </row>
    <row r="1930" spans="2:6" ht="17" thickBot="1">
      <c r="B1930" s="34" t="s">
        <v>37</v>
      </c>
      <c r="C1930" s="35"/>
      <c r="D1930" s="35"/>
      <c r="E1930" s="35"/>
      <c r="F1930" s="32">
        <f>SUM(F1927:F1929)</f>
        <v>4906.08</v>
      </c>
    </row>
    <row r="1931" spans="2:6" ht="17" thickBot="1">
      <c r="B1931" s="36"/>
      <c r="C1931" s="8"/>
      <c r="D1931" s="8"/>
      <c r="E1931" s="8"/>
    </row>
    <row r="1932" spans="2:6" ht="18" thickTop="1" thickBot="1">
      <c r="B1932" s="37" t="s">
        <v>38</v>
      </c>
      <c r="C1932" s="8"/>
      <c r="D1932" s="8"/>
      <c r="E1932" s="8"/>
    </row>
    <row r="1933" spans="2:6" ht="18" thickTop="1" thickBot="1">
      <c r="B1933" s="8"/>
      <c r="C1933" s="8"/>
      <c r="D1933" s="8"/>
      <c r="E1933" s="8"/>
    </row>
    <row r="1934" spans="2:6" ht="17" thickTop="1">
      <c r="B1934" s="38"/>
      <c r="C1934" s="13"/>
      <c r="D1934" s="13"/>
      <c r="E1934" s="39"/>
      <c r="F1934" s="40"/>
    </row>
    <row r="1935" spans="2:6" ht="16">
      <c r="B1935" s="38"/>
      <c r="C1935" s="13"/>
      <c r="D1935" s="13"/>
      <c r="E1935" s="41"/>
      <c r="F1935" s="42"/>
    </row>
    <row r="1936" spans="2:6" ht="16">
      <c r="B1936" s="38"/>
      <c r="C1936" s="13"/>
      <c r="D1936" s="13"/>
      <c r="E1936" s="41"/>
      <c r="F1936" s="42"/>
    </row>
    <row r="1937" spans="2:6" ht="17" thickBot="1">
      <c r="B1937" s="54"/>
      <c r="C1937" s="35"/>
      <c r="D1937" s="35"/>
      <c r="E1937" s="44"/>
      <c r="F1937" s="45"/>
    </row>
    <row r="1938" spans="2:6" ht="17" thickTop="1">
      <c r="B1938" s="46"/>
      <c r="C1938" s="46"/>
      <c r="D1938" s="46"/>
      <c r="E1938" s="47"/>
      <c r="F1938" s="47"/>
    </row>
    <row r="1939" spans="2:6" ht="14" thickBot="1">
      <c r="B1939" s="1" t="s">
        <v>0</v>
      </c>
      <c r="C1939" s="1"/>
    </row>
    <row r="1940" spans="2:6" ht="17" thickBot="1">
      <c r="B1940" s="1" t="s">
        <v>1</v>
      </c>
      <c r="C1940" s="1"/>
      <c r="E1940" s="4" t="s">
        <v>2</v>
      </c>
      <c r="F1940" s="5"/>
    </row>
    <row r="1941" spans="2:6">
      <c r="B1941" s="6"/>
    </row>
    <row r="1942" spans="2:6" ht="18" customHeight="1">
      <c r="B1942" s="7" t="s">
        <v>3</v>
      </c>
      <c r="C1942" s="7"/>
      <c r="D1942" s="7"/>
      <c r="E1942" s="7"/>
      <c r="F1942" s="7"/>
    </row>
    <row r="1943" spans="2:6" ht="16">
      <c r="B1943" s="8"/>
      <c r="C1943" s="8"/>
      <c r="D1943" s="8"/>
      <c r="E1943" s="8"/>
    </row>
    <row r="1944" spans="2:6" ht="22" customHeight="1">
      <c r="B1944" s="9" t="s">
        <v>4</v>
      </c>
      <c r="C1944" s="69" t="str">
        <f>C1772</f>
        <v>MEJORAMIENTO ESPACIO PUBLICO JJVV LUCILA GODOY ALCAYAGA</v>
      </c>
      <c r="D1944" s="69"/>
      <c r="E1944" s="69"/>
      <c r="F1944" s="70"/>
    </row>
    <row r="1945" spans="2:6" ht="16">
      <c r="B1945" s="12"/>
      <c r="C1945" s="8"/>
      <c r="D1945" s="8"/>
      <c r="E1945" s="8"/>
    </row>
    <row r="1946" spans="2:6" ht="16">
      <c r="B1946" s="9" t="s">
        <v>5</v>
      </c>
      <c r="C1946" s="13" t="s">
        <v>6</v>
      </c>
      <c r="D1946" s="13"/>
      <c r="E1946" s="13"/>
      <c r="F1946" s="14"/>
    </row>
    <row r="1947" spans="2:6" ht="16">
      <c r="B1947" s="9"/>
      <c r="C1947" s="13"/>
      <c r="D1947" s="13"/>
      <c r="E1947" s="13"/>
      <c r="F1947" s="14"/>
    </row>
    <row r="1948" spans="2:6" ht="16">
      <c r="B1948" s="9" t="s">
        <v>7</v>
      </c>
      <c r="C1948" s="13" t="str">
        <f>[1]LGA!A52</f>
        <v>2.5.7</v>
      </c>
      <c r="D1948" s="13"/>
      <c r="E1948" s="13"/>
      <c r="F1948" s="14"/>
    </row>
    <row r="1949" spans="2:6" ht="16">
      <c r="B1949" s="9" t="s">
        <v>8</v>
      </c>
      <c r="C1949" s="13" t="s">
        <v>111</v>
      </c>
      <c r="D1949" s="13"/>
      <c r="E1949" s="13"/>
      <c r="F1949" s="14"/>
    </row>
    <row r="1950" spans="2:6" ht="16">
      <c r="B1950" s="9" t="s">
        <v>10</v>
      </c>
      <c r="C1950" s="13" t="s">
        <v>87</v>
      </c>
      <c r="D1950" s="13"/>
      <c r="E1950" s="13"/>
      <c r="F1950" s="14"/>
    </row>
    <row r="1951" spans="2:6" ht="16">
      <c r="B1951" s="9" t="s">
        <v>12</v>
      </c>
      <c r="C1951" s="15">
        <f>C1779</f>
        <v>46024</v>
      </c>
      <c r="D1951" s="13"/>
      <c r="E1951" s="13"/>
      <c r="F1951" s="14"/>
    </row>
    <row r="1952" spans="2:6" ht="17" thickBot="1">
      <c r="B1952" s="8"/>
      <c r="C1952" s="8"/>
      <c r="D1952" s="8"/>
      <c r="E1952" s="8"/>
    </row>
    <row r="1953" spans="2:6" ht="15" thickTop="1" thickBot="1">
      <c r="B1953" s="16" t="s">
        <v>13</v>
      </c>
      <c r="C1953" s="17" t="s">
        <v>14</v>
      </c>
      <c r="D1953" s="17" t="s">
        <v>15</v>
      </c>
      <c r="E1953" s="17" t="s">
        <v>16</v>
      </c>
      <c r="F1953" s="18" t="s">
        <v>17</v>
      </c>
    </row>
    <row r="1954" spans="2:6" ht="14" thickTop="1">
      <c r="B1954" s="19"/>
      <c r="C1954" s="19"/>
      <c r="D1954" s="19"/>
      <c r="E1954" s="19"/>
      <c r="F1954" s="19"/>
    </row>
    <row r="1955" spans="2:6">
      <c r="B1955" s="20" t="s">
        <v>112</v>
      </c>
      <c r="C1955" s="21" t="s">
        <v>81</v>
      </c>
      <c r="D1955" s="21">
        <v>1</v>
      </c>
      <c r="E1955" s="22">
        <v>190000</v>
      </c>
      <c r="F1955" s="22">
        <f t="shared" ref="F1955:F1960" si="31">E1955*D1955</f>
        <v>190000</v>
      </c>
    </row>
    <row r="1956" spans="2:6">
      <c r="B1956" s="20" t="s">
        <v>113</v>
      </c>
      <c r="C1956" s="21" t="s">
        <v>43</v>
      </c>
      <c r="D1956" s="21">
        <v>1</v>
      </c>
      <c r="E1956" s="22">
        <v>4500</v>
      </c>
      <c r="F1956" s="22">
        <f t="shared" si="31"/>
        <v>4500</v>
      </c>
    </row>
    <row r="1957" spans="2:6">
      <c r="B1957" s="20"/>
      <c r="C1957" s="21"/>
      <c r="D1957" s="21"/>
      <c r="E1957" s="22"/>
      <c r="F1957" s="22">
        <f t="shared" si="31"/>
        <v>0</v>
      </c>
    </row>
    <row r="1958" spans="2:6">
      <c r="B1958" s="20"/>
      <c r="C1958" s="21"/>
      <c r="D1958" s="21"/>
      <c r="E1958" s="22"/>
      <c r="F1958" s="22">
        <f t="shared" si="31"/>
        <v>0</v>
      </c>
    </row>
    <row r="1959" spans="2:6">
      <c r="B1959" s="20"/>
      <c r="C1959" s="21"/>
      <c r="D1959" s="21"/>
      <c r="E1959" s="22"/>
      <c r="F1959" s="22">
        <f t="shared" si="31"/>
        <v>0</v>
      </c>
    </row>
    <row r="1960" spans="2:6">
      <c r="B1960" s="20"/>
      <c r="C1960" s="21"/>
      <c r="D1960" s="21"/>
      <c r="E1960" s="22"/>
      <c r="F1960" s="22">
        <f t="shared" si="31"/>
        <v>0</v>
      </c>
    </row>
    <row r="1961" spans="2:6" ht="17" thickBot="1">
      <c r="B1961" s="6" t="s">
        <v>19</v>
      </c>
      <c r="C1961" s="8"/>
      <c r="D1961" s="8"/>
      <c r="E1961" s="8"/>
      <c r="F1961" s="23">
        <f>SUM(F1955:F1960)</f>
        <v>194500</v>
      </c>
    </row>
    <row r="1962" spans="2:6" ht="17" thickBot="1">
      <c r="B1962" s="8"/>
      <c r="C1962" s="8"/>
      <c r="D1962" s="8"/>
      <c r="E1962" s="8"/>
    </row>
    <row r="1963" spans="2:6" ht="15" thickTop="1" thickBot="1">
      <c r="B1963" s="16" t="s">
        <v>20</v>
      </c>
      <c r="C1963" s="17" t="s">
        <v>14</v>
      </c>
      <c r="D1963" s="17" t="s">
        <v>15</v>
      </c>
      <c r="E1963" s="17" t="s">
        <v>16</v>
      </c>
      <c r="F1963" s="18" t="s">
        <v>17</v>
      </c>
    </row>
    <row r="1964" spans="2:6" ht="17" thickTop="1">
      <c r="B1964" s="8"/>
      <c r="C1964" s="8"/>
      <c r="D1964" s="8"/>
      <c r="E1964" s="8"/>
    </row>
    <row r="1965" spans="2:6">
      <c r="B1965" s="24" t="s">
        <v>21</v>
      </c>
      <c r="C1965" s="20" t="s">
        <v>22</v>
      </c>
      <c r="D1965" s="20">
        <v>0.1</v>
      </c>
      <c r="E1965" s="22">
        <v>27500</v>
      </c>
      <c r="F1965" s="25">
        <f>E1965*D1965</f>
        <v>2750</v>
      </c>
    </row>
    <row r="1966" spans="2:6">
      <c r="B1966" s="20" t="s">
        <v>23</v>
      </c>
      <c r="C1966" s="20" t="s">
        <v>22</v>
      </c>
      <c r="D1966" s="20">
        <v>0.1</v>
      </c>
      <c r="E1966" s="22">
        <v>15000</v>
      </c>
      <c r="F1966" s="25">
        <f>E1966*D1966</f>
        <v>1500</v>
      </c>
    </row>
    <row r="1967" spans="2:6" ht="16">
      <c r="B1967" s="26"/>
      <c r="C1967" s="26"/>
      <c r="D1967" s="26"/>
      <c r="E1967" s="26"/>
      <c r="F1967" s="25">
        <f>E1967*D1967</f>
        <v>0</v>
      </c>
    </row>
    <row r="1968" spans="2:6" ht="16">
      <c r="B1968" s="26"/>
      <c r="C1968" s="26"/>
      <c r="D1968" s="26"/>
      <c r="E1968" s="26"/>
      <c r="F1968" s="25">
        <f>E1968*D1968</f>
        <v>0</v>
      </c>
    </row>
    <row r="1969" spans="2:6" ht="16">
      <c r="B1969" s="27" t="s">
        <v>25</v>
      </c>
      <c r="C1969" s="27" t="s">
        <v>26</v>
      </c>
      <c r="D1969" s="28">
        <v>0.32</v>
      </c>
      <c r="E1969" s="29">
        <f>SUM(E1965:E1968)*D1969</f>
        <v>13600</v>
      </c>
      <c r="F1969" s="25">
        <f>E1969*D1969</f>
        <v>4352</v>
      </c>
    </row>
    <row r="1970" spans="2:6" ht="16">
      <c r="B1970" s="8"/>
      <c r="C1970" s="8"/>
      <c r="D1970" s="8"/>
      <c r="E1970" s="8"/>
    </row>
    <row r="1971" spans="2:6" ht="17" thickBot="1">
      <c r="B1971" s="6" t="s">
        <v>27</v>
      </c>
      <c r="C1971" s="8"/>
      <c r="D1971" s="8"/>
      <c r="E1971" s="8"/>
      <c r="F1971" s="23">
        <f>SUM(F1965:F1970)</f>
        <v>8602</v>
      </c>
    </row>
    <row r="1972" spans="2:6" ht="17" thickBot="1">
      <c r="B1972" s="8"/>
      <c r="C1972" s="8"/>
      <c r="D1972" s="8"/>
      <c r="E1972" s="8"/>
    </row>
    <row r="1973" spans="2:6" ht="15" thickTop="1" thickBot="1">
      <c r="B1973" s="16" t="s">
        <v>28</v>
      </c>
      <c r="C1973" s="17" t="s">
        <v>14</v>
      </c>
      <c r="D1973" s="17" t="s">
        <v>15</v>
      </c>
      <c r="E1973" s="17" t="s">
        <v>16</v>
      </c>
      <c r="F1973" s="18" t="s">
        <v>17</v>
      </c>
    </row>
    <row r="1974" spans="2:6" ht="17" thickTop="1">
      <c r="B1974" s="8"/>
      <c r="C1974" s="8"/>
      <c r="D1974" s="8"/>
      <c r="E1974" s="8"/>
    </row>
    <row r="1975" spans="2:6">
      <c r="B1975" s="20" t="s">
        <v>114</v>
      </c>
      <c r="C1975" s="20" t="s">
        <v>32</v>
      </c>
      <c r="D1975" s="68">
        <v>0.2</v>
      </c>
      <c r="E1975" s="22">
        <v>25000</v>
      </c>
      <c r="F1975" s="25">
        <f>E1975*D1975</f>
        <v>5000</v>
      </c>
    </row>
    <row r="1976" spans="2:6">
      <c r="B1976" s="20" t="s">
        <v>115</v>
      </c>
      <c r="C1976" s="20" t="s">
        <v>32</v>
      </c>
      <c r="D1976" s="68">
        <v>0.1</v>
      </c>
      <c r="E1976" s="22">
        <v>35000</v>
      </c>
      <c r="F1976" s="25">
        <f>E1976*D1976</f>
        <v>3500</v>
      </c>
    </row>
    <row r="1977" spans="2:6" ht="16">
      <c r="B1977" s="26"/>
      <c r="C1977" s="26"/>
      <c r="D1977" s="26"/>
      <c r="E1977" s="26"/>
      <c r="F1977" s="25">
        <f>E1977*D1977</f>
        <v>0</v>
      </c>
    </row>
    <row r="1978" spans="2:6" ht="16">
      <c r="B1978" s="26"/>
      <c r="C1978" s="26"/>
      <c r="D1978" s="26"/>
      <c r="E1978" s="26"/>
      <c r="F1978" s="25">
        <f>E1978*D1978</f>
        <v>0</v>
      </c>
    </row>
    <row r="1979" spans="2:6" ht="16">
      <c r="B1979" s="30"/>
      <c r="C1979" s="26"/>
      <c r="D1979" s="26"/>
      <c r="E1979" s="26"/>
      <c r="F1979" s="25">
        <f>E1979*D1979</f>
        <v>0</v>
      </c>
    </row>
    <row r="1980" spans="2:6" ht="16">
      <c r="B1980" s="8"/>
      <c r="C1980" s="8"/>
      <c r="D1980" s="8"/>
      <c r="E1980" s="8"/>
    </row>
    <row r="1981" spans="2:6" ht="14" thickBot="1">
      <c r="B1981" s="19" t="s">
        <v>33</v>
      </c>
      <c r="C1981" s="19"/>
      <c r="D1981" s="19"/>
      <c r="E1981" s="19"/>
      <c r="F1981" s="23">
        <f>SUM(F1975:F1980)</f>
        <v>8500</v>
      </c>
    </row>
    <row r="1982" spans="2:6" ht="16">
      <c r="B1982" s="8"/>
      <c r="C1982" s="8"/>
      <c r="D1982" s="8"/>
      <c r="E1982" s="8"/>
    </row>
    <row r="1983" spans="2:6" ht="17" thickBot="1">
      <c r="B1983" s="8"/>
      <c r="C1983" s="8"/>
      <c r="D1983" s="8"/>
      <c r="E1983" s="8"/>
    </row>
    <row r="1984" spans="2:6" ht="17" thickBot="1">
      <c r="B1984" s="31" t="s">
        <v>34</v>
      </c>
      <c r="C1984" s="13"/>
      <c r="D1984" s="13"/>
      <c r="E1984" s="13"/>
      <c r="F1984" s="32">
        <f>F1961+F1971+F1981</f>
        <v>211602</v>
      </c>
    </row>
    <row r="1985" spans="2:6" ht="17" thickBot="1">
      <c r="B1985" s="31" t="s">
        <v>35</v>
      </c>
      <c r="C1985" s="13"/>
      <c r="D1985" s="13"/>
      <c r="E1985" s="33">
        <f>E1813</f>
        <v>0.1</v>
      </c>
      <c r="F1985" s="32">
        <f>F1984*E1985</f>
        <v>21160.2</v>
      </c>
    </row>
    <row r="1986" spans="2:6" ht="17" thickBot="1">
      <c r="B1986" s="31" t="s">
        <v>36</v>
      </c>
      <c r="C1986" s="13"/>
      <c r="D1986" s="13"/>
      <c r="E1986" s="33">
        <f>E1814</f>
        <v>0.1</v>
      </c>
      <c r="F1986" s="32">
        <f>F1984*E1986</f>
        <v>21160.2</v>
      </c>
    </row>
    <row r="1987" spans="2:6" ht="17" thickBot="1">
      <c r="B1987" s="34" t="s">
        <v>37</v>
      </c>
      <c r="C1987" s="35"/>
      <c r="D1987" s="35"/>
      <c r="E1987" s="35"/>
      <c r="F1987" s="32">
        <f>SUM(F1984:F1986)</f>
        <v>253922.40000000002</v>
      </c>
    </row>
    <row r="1988" spans="2:6" ht="17" thickBot="1">
      <c r="B1988" s="36"/>
      <c r="C1988" s="8"/>
      <c r="D1988" s="8"/>
      <c r="E1988" s="8"/>
    </row>
    <row r="1989" spans="2:6" ht="18" thickTop="1" thickBot="1">
      <c r="B1989" s="37" t="s">
        <v>38</v>
      </c>
      <c r="C1989" s="8"/>
      <c r="D1989" s="8"/>
      <c r="E1989" s="8"/>
    </row>
    <row r="1990" spans="2:6" ht="18" thickTop="1" thickBot="1">
      <c r="B1990" s="8"/>
      <c r="C1990" s="8"/>
      <c r="D1990" s="8"/>
      <c r="E1990" s="8"/>
    </row>
    <row r="1991" spans="2:6" ht="17" thickTop="1">
      <c r="B1991" s="38"/>
      <c r="C1991" s="13"/>
      <c r="D1991" s="13"/>
      <c r="E1991" s="39"/>
      <c r="F1991" s="40"/>
    </row>
    <row r="1992" spans="2:6" ht="16">
      <c r="B1992" s="38"/>
      <c r="C1992" s="13"/>
      <c r="D1992" s="13"/>
      <c r="E1992" s="41"/>
      <c r="F1992" s="42"/>
    </row>
    <row r="1993" spans="2:6" ht="16">
      <c r="B1993" s="38"/>
      <c r="C1993" s="13"/>
      <c r="D1993" s="13"/>
      <c r="E1993" s="41"/>
      <c r="F1993" s="42"/>
    </row>
    <row r="1994" spans="2:6" ht="17" thickBot="1">
      <c r="B1994" s="54"/>
      <c r="C1994" s="35"/>
      <c r="D1994" s="35"/>
      <c r="E1994" s="44"/>
      <c r="F1994" s="45"/>
    </row>
    <row r="1995" spans="2:6" ht="17" thickTop="1">
      <c r="B1995" s="46"/>
      <c r="C1995" s="46"/>
      <c r="D1995" s="46"/>
      <c r="E1995" s="47"/>
      <c r="F1995" s="47"/>
    </row>
    <row r="1996" spans="2:6" ht="14" thickBot="1">
      <c r="B1996" s="1" t="s">
        <v>0</v>
      </c>
      <c r="C1996" s="1"/>
    </row>
    <row r="1997" spans="2:6" ht="17" thickBot="1">
      <c r="B1997" s="1" t="s">
        <v>1</v>
      </c>
      <c r="C1997" s="1"/>
      <c r="E1997" s="4" t="s">
        <v>2</v>
      </c>
      <c r="F1997" s="5"/>
    </row>
    <row r="1998" spans="2:6">
      <c r="B1998" s="6"/>
    </row>
    <row r="1999" spans="2:6" ht="18" customHeight="1">
      <c r="B1999" s="7" t="s">
        <v>3</v>
      </c>
      <c r="C1999" s="7"/>
      <c r="D1999" s="7"/>
      <c r="E1999" s="7"/>
      <c r="F1999" s="7"/>
    </row>
    <row r="2000" spans="2:6" ht="16">
      <c r="B2000" s="8"/>
      <c r="C2000" s="8"/>
      <c r="D2000" s="8"/>
      <c r="E2000" s="8"/>
    </row>
    <row r="2001" spans="2:6" ht="22" customHeight="1">
      <c r="B2001" s="9" t="s">
        <v>4</v>
      </c>
      <c r="C2001" s="69" t="str">
        <f>C1944</f>
        <v>MEJORAMIENTO ESPACIO PUBLICO JJVV LUCILA GODOY ALCAYAGA</v>
      </c>
      <c r="D2001" s="69"/>
      <c r="E2001" s="69"/>
      <c r="F2001" s="70"/>
    </row>
    <row r="2002" spans="2:6" ht="16">
      <c r="B2002" s="12"/>
      <c r="C2002" s="8"/>
      <c r="D2002" s="8"/>
      <c r="E2002" s="8"/>
    </row>
    <row r="2003" spans="2:6" ht="16">
      <c r="B2003" s="9" t="s">
        <v>5</v>
      </c>
      <c r="C2003" s="13" t="s">
        <v>6</v>
      </c>
      <c r="D2003" s="13"/>
      <c r="E2003" s="13"/>
      <c r="F2003" s="14"/>
    </row>
    <row r="2004" spans="2:6" ht="16">
      <c r="B2004" s="9"/>
      <c r="C2004" s="13"/>
      <c r="D2004" s="13"/>
      <c r="E2004" s="13"/>
      <c r="F2004" s="14"/>
    </row>
    <row r="2005" spans="2:6" ht="16">
      <c r="B2005" s="9" t="s">
        <v>7</v>
      </c>
      <c r="C2005" s="13" t="str">
        <f>[1]LGA!A53</f>
        <v>2.5.8</v>
      </c>
      <c r="D2005" s="13"/>
      <c r="E2005" s="13"/>
      <c r="F2005" s="14"/>
    </row>
    <row r="2006" spans="2:6" ht="16">
      <c r="B2006" s="9" t="s">
        <v>8</v>
      </c>
      <c r="C2006" s="13" t="s">
        <v>164</v>
      </c>
      <c r="D2006" s="13"/>
      <c r="E2006" s="13"/>
      <c r="F2006" s="14"/>
    </row>
    <row r="2007" spans="2:6" ht="16">
      <c r="B2007" s="9" t="s">
        <v>10</v>
      </c>
      <c r="C2007" s="13" t="s">
        <v>95</v>
      </c>
      <c r="D2007" s="13"/>
      <c r="E2007" s="13"/>
      <c r="F2007" s="14"/>
    </row>
    <row r="2008" spans="2:6" ht="16">
      <c r="B2008" s="9" t="s">
        <v>12</v>
      </c>
      <c r="C2008" s="15">
        <f>C1951</f>
        <v>46024</v>
      </c>
      <c r="D2008" s="13"/>
      <c r="E2008" s="13"/>
      <c r="F2008" s="14"/>
    </row>
    <row r="2009" spans="2:6" ht="17" thickBot="1">
      <c r="B2009" s="8"/>
      <c r="C2009" s="8"/>
      <c r="D2009" s="8"/>
      <c r="E2009" s="8"/>
    </row>
    <row r="2010" spans="2:6" ht="15" thickTop="1" thickBot="1">
      <c r="B2010" s="16" t="s">
        <v>13</v>
      </c>
      <c r="C2010" s="17" t="s">
        <v>14</v>
      </c>
      <c r="D2010" s="17" t="s">
        <v>15</v>
      </c>
      <c r="E2010" s="17" t="s">
        <v>16</v>
      </c>
      <c r="F2010" s="18" t="s">
        <v>17</v>
      </c>
    </row>
    <row r="2011" spans="2:6" ht="14" thickTop="1">
      <c r="B2011" s="19"/>
      <c r="C2011" s="19"/>
      <c r="D2011" s="19"/>
      <c r="E2011" s="19"/>
      <c r="F2011" s="19"/>
    </row>
    <row r="2012" spans="2:6">
      <c r="B2012" s="20" t="s">
        <v>165</v>
      </c>
      <c r="C2012" s="21" t="s">
        <v>95</v>
      </c>
      <c r="D2012" s="21">
        <v>0.04</v>
      </c>
      <c r="E2012" s="22">
        <v>190000</v>
      </c>
      <c r="F2012" s="22">
        <f t="shared" ref="F2012:F2017" si="32">E2012*D2012</f>
        <v>7600</v>
      </c>
    </row>
    <row r="2013" spans="2:6">
      <c r="B2013" s="20"/>
      <c r="C2013" s="21"/>
      <c r="D2013" s="21"/>
      <c r="E2013" s="22"/>
      <c r="F2013" s="22">
        <f t="shared" si="32"/>
        <v>0</v>
      </c>
    </row>
    <row r="2014" spans="2:6">
      <c r="B2014" s="20"/>
      <c r="C2014" s="21"/>
      <c r="D2014" s="21"/>
      <c r="E2014" s="22"/>
      <c r="F2014" s="22">
        <f t="shared" si="32"/>
        <v>0</v>
      </c>
    </row>
    <row r="2015" spans="2:6">
      <c r="B2015" s="20"/>
      <c r="C2015" s="21"/>
      <c r="D2015" s="21"/>
      <c r="E2015" s="22"/>
      <c r="F2015" s="22">
        <f t="shared" si="32"/>
        <v>0</v>
      </c>
    </row>
    <row r="2016" spans="2:6">
      <c r="B2016" s="20"/>
      <c r="C2016" s="21"/>
      <c r="D2016" s="21"/>
      <c r="E2016" s="22"/>
      <c r="F2016" s="22">
        <f t="shared" si="32"/>
        <v>0</v>
      </c>
    </row>
    <row r="2017" spans="2:6">
      <c r="B2017" s="20"/>
      <c r="C2017" s="21"/>
      <c r="D2017" s="21"/>
      <c r="E2017" s="22"/>
      <c r="F2017" s="22">
        <f t="shared" si="32"/>
        <v>0</v>
      </c>
    </row>
    <row r="2018" spans="2:6" ht="17" thickBot="1">
      <c r="B2018" s="6" t="s">
        <v>19</v>
      </c>
      <c r="C2018" s="8"/>
      <c r="D2018" s="8"/>
      <c r="E2018" s="8"/>
      <c r="F2018" s="23">
        <f>SUM(F2012:F2017)</f>
        <v>7600</v>
      </c>
    </row>
    <row r="2019" spans="2:6" ht="17" thickBot="1">
      <c r="B2019" s="8"/>
      <c r="C2019" s="8"/>
      <c r="D2019" s="8"/>
      <c r="E2019" s="8"/>
    </row>
    <row r="2020" spans="2:6" ht="15" thickTop="1" thickBot="1">
      <c r="B2020" s="16" t="s">
        <v>20</v>
      </c>
      <c r="C2020" s="17" t="s">
        <v>14</v>
      </c>
      <c r="D2020" s="17" t="s">
        <v>15</v>
      </c>
      <c r="E2020" s="17" t="s">
        <v>16</v>
      </c>
      <c r="F2020" s="18" t="s">
        <v>17</v>
      </c>
    </row>
    <row r="2021" spans="2:6" ht="17" thickTop="1">
      <c r="B2021" s="8"/>
      <c r="C2021" s="8"/>
      <c r="D2021" s="8"/>
      <c r="E2021" s="8"/>
    </row>
    <row r="2022" spans="2:6">
      <c r="B2022" s="24" t="s">
        <v>166</v>
      </c>
      <c r="C2022" s="20" t="s">
        <v>22</v>
      </c>
      <c r="D2022" s="20">
        <v>3.3000000000000002E-2</v>
      </c>
      <c r="E2022" s="22">
        <v>27500</v>
      </c>
      <c r="F2022" s="25">
        <f>E2022*D2022</f>
        <v>907.5</v>
      </c>
    </row>
    <row r="2023" spans="2:6">
      <c r="B2023" s="20" t="s">
        <v>23</v>
      </c>
      <c r="C2023" s="20" t="s">
        <v>22</v>
      </c>
      <c r="D2023" s="20">
        <v>3.3000000000000002E-2</v>
      </c>
      <c r="E2023" s="22">
        <v>15000</v>
      </c>
      <c r="F2023" s="25">
        <f>E2023*D2023</f>
        <v>495</v>
      </c>
    </row>
    <row r="2024" spans="2:6" ht="16">
      <c r="B2024" s="26"/>
      <c r="C2024" s="26"/>
      <c r="D2024" s="26"/>
      <c r="E2024" s="26"/>
      <c r="F2024" s="25">
        <f>E2024*D2024</f>
        <v>0</v>
      </c>
    </row>
    <row r="2025" spans="2:6" ht="16">
      <c r="B2025" s="26"/>
      <c r="C2025" s="26"/>
      <c r="D2025" s="26"/>
      <c r="E2025" s="26"/>
      <c r="F2025" s="25">
        <f>E2025*D2025</f>
        <v>0</v>
      </c>
    </row>
    <row r="2026" spans="2:6" ht="16">
      <c r="B2026" s="27" t="s">
        <v>25</v>
      </c>
      <c r="C2026" s="27" t="s">
        <v>26</v>
      </c>
      <c r="D2026" s="28">
        <v>0.32</v>
      </c>
      <c r="E2026" s="29">
        <f>SUM(E2022:E2025)*D2026</f>
        <v>13600</v>
      </c>
      <c r="F2026" s="25">
        <f>E2026*D2026</f>
        <v>4352</v>
      </c>
    </row>
    <row r="2027" spans="2:6" ht="16">
      <c r="B2027" s="8"/>
      <c r="C2027" s="8"/>
      <c r="D2027" s="8"/>
      <c r="E2027" s="8"/>
    </row>
    <row r="2028" spans="2:6" ht="17" thickBot="1">
      <c r="B2028" s="6" t="s">
        <v>27</v>
      </c>
      <c r="C2028" s="8"/>
      <c r="D2028" s="8"/>
      <c r="E2028" s="8"/>
      <c r="F2028" s="23">
        <f>SUM(F2022:F2027)</f>
        <v>5754.5</v>
      </c>
    </row>
    <row r="2029" spans="2:6" ht="17" thickBot="1">
      <c r="B2029" s="8"/>
      <c r="C2029" s="8"/>
      <c r="D2029" s="8"/>
      <c r="E2029" s="8"/>
    </row>
    <row r="2030" spans="2:6" ht="15" thickTop="1" thickBot="1">
      <c r="B2030" s="16" t="s">
        <v>28</v>
      </c>
      <c r="C2030" s="17" t="s">
        <v>14</v>
      </c>
      <c r="D2030" s="17" t="s">
        <v>15</v>
      </c>
      <c r="E2030" s="17" t="s">
        <v>16</v>
      </c>
      <c r="F2030" s="18" t="s">
        <v>17</v>
      </c>
    </row>
    <row r="2031" spans="2:6" ht="17" thickTop="1">
      <c r="B2031" s="8"/>
      <c r="C2031" s="8"/>
      <c r="D2031" s="8"/>
      <c r="E2031" s="8"/>
    </row>
    <row r="2032" spans="2:6">
      <c r="B2032" s="20" t="s">
        <v>31</v>
      </c>
      <c r="C2032" s="20" t="s">
        <v>32</v>
      </c>
      <c r="D2032" s="68">
        <v>0.01</v>
      </c>
      <c r="E2032" s="22">
        <v>25000</v>
      </c>
      <c r="F2032" s="25">
        <f>E2032*D2032</f>
        <v>250</v>
      </c>
    </row>
    <row r="2033" spans="2:6">
      <c r="B2033" s="20"/>
      <c r="C2033" s="20"/>
      <c r="D2033" s="68"/>
      <c r="E2033" s="22"/>
      <c r="F2033" s="25">
        <f>E2033*D2033</f>
        <v>0</v>
      </c>
    </row>
    <row r="2034" spans="2:6" ht="16">
      <c r="B2034" s="26"/>
      <c r="C2034" s="26"/>
      <c r="D2034" s="26"/>
      <c r="E2034" s="26"/>
      <c r="F2034" s="25">
        <f>E2034*D2034</f>
        <v>0</v>
      </c>
    </row>
    <row r="2035" spans="2:6" ht="16">
      <c r="B2035" s="26"/>
      <c r="C2035" s="26"/>
      <c r="D2035" s="26"/>
      <c r="E2035" s="26"/>
      <c r="F2035" s="25">
        <f>E2035*D2035</f>
        <v>0</v>
      </c>
    </row>
    <row r="2036" spans="2:6" ht="16">
      <c r="B2036" s="30"/>
      <c r="C2036" s="26"/>
      <c r="D2036" s="26"/>
      <c r="E2036" s="26"/>
      <c r="F2036" s="25">
        <f>E2036*D2036</f>
        <v>0</v>
      </c>
    </row>
    <row r="2037" spans="2:6" ht="16">
      <c r="B2037" s="8"/>
      <c r="C2037" s="8"/>
      <c r="D2037" s="8"/>
      <c r="E2037" s="8"/>
    </row>
    <row r="2038" spans="2:6" ht="14" thickBot="1">
      <c r="B2038" s="19" t="s">
        <v>33</v>
      </c>
      <c r="C2038" s="19"/>
      <c r="D2038" s="19"/>
      <c r="E2038" s="19"/>
      <c r="F2038" s="23">
        <f>SUM(F2032:F2037)</f>
        <v>250</v>
      </c>
    </row>
    <row r="2039" spans="2:6" ht="16">
      <c r="B2039" s="8"/>
      <c r="C2039" s="8"/>
      <c r="D2039" s="8"/>
      <c r="E2039" s="8"/>
    </row>
    <row r="2040" spans="2:6" ht="17" thickBot="1">
      <c r="B2040" s="8"/>
      <c r="C2040" s="8"/>
      <c r="D2040" s="8"/>
      <c r="E2040" s="8"/>
    </row>
    <row r="2041" spans="2:6" ht="17" thickBot="1">
      <c r="B2041" s="31" t="s">
        <v>34</v>
      </c>
      <c r="C2041" s="13"/>
      <c r="D2041" s="13"/>
      <c r="E2041" s="13"/>
      <c r="F2041" s="32">
        <f>F2018+F2028+F2038</f>
        <v>13604.5</v>
      </c>
    </row>
    <row r="2042" spans="2:6" ht="17" thickBot="1">
      <c r="B2042" s="31" t="s">
        <v>35</v>
      </c>
      <c r="C2042" s="13"/>
      <c r="D2042" s="13"/>
      <c r="E2042" s="33">
        <v>0.1</v>
      </c>
      <c r="F2042" s="32">
        <f>F2041*E2042</f>
        <v>1360.45</v>
      </c>
    </row>
    <row r="2043" spans="2:6" ht="17" thickBot="1">
      <c r="B2043" s="31" t="s">
        <v>36</v>
      </c>
      <c r="C2043" s="13"/>
      <c r="D2043" s="13"/>
      <c r="E2043" s="33">
        <f>E1871</f>
        <v>0.1</v>
      </c>
      <c r="F2043" s="32">
        <f>F2041*E2043</f>
        <v>1360.45</v>
      </c>
    </row>
    <row r="2044" spans="2:6" ht="17" thickBot="1">
      <c r="B2044" s="34" t="s">
        <v>37</v>
      </c>
      <c r="C2044" s="35"/>
      <c r="D2044" s="35"/>
      <c r="E2044" s="35"/>
      <c r="F2044" s="32">
        <f>SUM(F2041:F2043)</f>
        <v>16325.400000000001</v>
      </c>
    </row>
    <row r="2045" spans="2:6" ht="17" thickBot="1">
      <c r="B2045" s="36"/>
      <c r="C2045" s="8"/>
      <c r="D2045" s="8"/>
      <c r="E2045" s="8"/>
    </row>
    <row r="2046" spans="2:6" ht="18" thickTop="1" thickBot="1">
      <c r="B2046" s="37" t="s">
        <v>38</v>
      </c>
      <c r="C2046" s="8"/>
      <c r="D2046" s="8"/>
      <c r="E2046" s="8"/>
    </row>
    <row r="2047" spans="2:6" ht="18" thickTop="1" thickBot="1">
      <c r="B2047" s="8"/>
      <c r="C2047" s="8"/>
      <c r="D2047" s="8"/>
      <c r="E2047" s="8"/>
    </row>
    <row r="2048" spans="2:6" ht="17" thickTop="1">
      <c r="B2048" s="38"/>
      <c r="C2048" s="13"/>
      <c r="D2048" s="13"/>
      <c r="E2048" s="39"/>
      <c r="F2048" s="40"/>
    </row>
    <row r="2049" spans="2:6" ht="16">
      <c r="B2049" s="38"/>
      <c r="C2049" s="13"/>
      <c r="D2049" s="13"/>
      <c r="E2049" s="41"/>
      <c r="F2049" s="42"/>
    </row>
    <row r="2050" spans="2:6" ht="16">
      <c r="B2050" s="38"/>
      <c r="C2050" s="13"/>
      <c r="D2050" s="13"/>
      <c r="E2050" s="41"/>
      <c r="F2050" s="42"/>
    </row>
    <row r="2051" spans="2:6" ht="17" thickBot="1">
      <c r="B2051" s="54"/>
      <c r="C2051" s="35"/>
      <c r="D2051" s="35"/>
      <c r="E2051" s="44"/>
      <c r="F2051" s="45"/>
    </row>
    <row r="2052" spans="2:6" ht="17" thickTop="1">
      <c r="B2052" s="46"/>
      <c r="C2052" s="46"/>
      <c r="D2052" s="46"/>
      <c r="E2052" s="47"/>
      <c r="F2052" s="47"/>
    </row>
    <row r="2053" spans="2:6" ht="14" thickBot="1">
      <c r="B2053" s="1" t="s">
        <v>0</v>
      </c>
      <c r="C2053" s="1"/>
    </row>
    <row r="2054" spans="2:6" ht="17" thickBot="1">
      <c r="B2054" s="1" t="s">
        <v>1</v>
      </c>
      <c r="C2054" s="1"/>
      <c r="E2054" s="4" t="s">
        <v>2</v>
      </c>
      <c r="F2054" s="5"/>
    </row>
    <row r="2055" spans="2:6">
      <c r="B2055" s="6"/>
    </row>
    <row r="2056" spans="2:6" ht="18" customHeight="1">
      <c r="B2056" s="7" t="s">
        <v>3</v>
      </c>
      <c r="C2056" s="7"/>
      <c r="D2056" s="7"/>
      <c r="E2056" s="7"/>
      <c r="F2056" s="7"/>
    </row>
    <row r="2057" spans="2:6" ht="16">
      <c r="B2057" s="8"/>
      <c r="C2057" s="8"/>
      <c r="D2057" s="8"/>
      <c r="E2057" s="8"/>
    </row>
    <row r="2058" spans="2:6" ht="22" customHeight="1">
      <c r="B2058" s="9" t="s">
        <v>4</v>
      </c>
      <c r="C2058" s="69" t="str">
        <f>C2001</f>
        <v>MEJORAMIENTO ESPACIO PUBLICO JJVV LUCILA GODOY ALCAYAGA</v>
      </c>
      <c r="D2058" s="69"/>
      <c r="E2058" s="69"/>
      <c r="F2058" s="70"/>
    </row>
    <row r="2059" spans="2:6" ht="16">
      <c r="B2059" s="12"/>
      <c r="C2059" s="8"/>
      <c r="D2059" s="8"/>
      <c r="E2059" s="8"/>
    </row>
    <row r="2060" spans="2:6" ht="16">
      <c r="B2060" s="9" t="s">
        <v>5</v>
      </c>
      <c r="C2060" s="13" t="s">
        <v>6</v>
      </c>
      <c r="D2060" s="13"/>
      <c r="E2060" s="13"/>
      <c r="F2060" s="14"/>
    </row>
    <row r="2061" spans="2:6" ht="16">
      <c r="B2061" s="9"/>
      <c r="C2061" s="13"/>
      <c r="D2061" s="13"/>
      <c r="E2061" s="13"/>
      <c r="F2061" s="14"/>
    </row>
    <row r="2062" spans="2:6" ht="16">
      <c r="B2062" s="9" t="s">
        <v>7</v>
      </c>
      <c r="C2062" s="13" t="str">
        <f>[1]LGA!A54</f>
        <v>2.5.9</v>
      </c>
      <c r="D2062" s="13"/>
      <c r="E2062" s="13"/>
      <c r="F2062" s="14"/>
    </row>
    <row r="2063" spans="2:6" ht="16">
      <c r="B2063" s="9" t="s">
        <v>8</v>
      </c>
      <c r="C2063" s="13" t="s">
        <v>167</v>
      </c>
      <c r="D2063" s="13"/>
      <c r="E2063" s="13"/>
      <c r="F2063" s="14"/>
    </row>
    <row r="2064" spans="2:6" ht="16">
      <c r="B2064" s="9" t="s">
        <v>10</v>
      </c>
      <c r="C2064" s="13" t="s">
        <v>95</v>
      </c>
      <c r="D2064" s="13"/>
      <c r="E2064" s="13"/>
      <c r="F2064" s="14"/>
    </row>
    <row r="2065" spans="2:6" ht="16">
      <c r="B2065" s="9" t="s">
        <v>12</v>
      </c>
      <c r="C2065" s="15">
        <f>C2008</f>
        <v>46024</v>
      </c>
      <c r="D2065" s="13"/>
      <c r="E2065" s="13"/>
      <c r="F2065" s="14"/>
    </row>
    <row r="2066" spans="2:6" ht="17" thickBot="1">
      <c r="B2066" s="8"/>
      <c r="C2066" s="8"/>
      <c r="D2066" s="8"/>
      <c r="E2066" s="8"/>
    </row>
    <row r="2067" spans="2:6" ht="15" thickTop="1" thickBot="1">
      <c r="B2067" s="16" t="s">
        <v>13</v>
      </c>
      <c r="C2067" s="17" t="s">
        <v>14</v>
      </c>
      <c r="D2067" s="17" t="s">
        <v>15</v>
      </c>
      <c r="E2067" s="17" t="s">
        <v>16</v>
      </c>
      <c r="F2067" s="18" t="s">
        <v>17</v>
      </c>
    </row>
    <row r="2068" spans="2:6" ht="14" thickTop="1">
      <c r="B2068" s="19"/>
      <c r="C2068" s="19"/>
      <c r="D2068" s="19"/>
      <c r="E2068" s="19"/>
      <c r="F2068" s="19"/>
    </row>
    <row r="2069" spans="2:6">
      <c r="B2069" s="20" t="s">
        <v>168</v>
      </c>
      <c r="C2069" s="21" t="s">
        <v>95</v>
      </c>
      <c r="D2069" s="21">
        <v>1</v>
      </c>
      <c r="E2069" s="22">
        <v>1750</v>
      </c>
      <c r="F2069" s="22">
        <f t="shared" ref="F2069:F2074" si="33">E2069*D2069</f>
        <v>1750</v>
      </c>
    </row>
    <row r="2070" spans="2:6">
      <c r="B2070" s="20"/>
      <c r="C2070" s="21"/>
      <c r="D2070" s="21"/>
      <c r="E2070" s="22"/>
      <c r="F2070" s="22">
        <f t="shared" si="33"/>
        <v>0</v>
      </c>
    </row>
    <row r="2071" spans="2:6">
      <c r="B2071" s="20"/>
      <c r="C2071" s="21"/>
      <c r="D2071" s="21"/>
      <c r="E2071" s="22"/>
      <c r="F2071" s="22">
        <f t="shared" si="33"/>
        <v>0</v>
      </c>
    </row>
    <row r="2072" spans="2:6">
      <c r="B2072" s="20"/>
      <c r="C2072" s="21"/>
      <c r="D2072" s="21"/>
      <c r="E2072" s="22"/>
      <c r="F2072" s="22">
        <f t="shared" si="33"/>
        <v>0</v>
      </c>
    </row>
    <row r="2073" spans="2:6">
      <c r="B2073" s="20"/>
      <c r="C2073" s="21"/>
      <c r="D2073" s="21"/>
      <c r="E2073" s="22"/>
      <c r="F2073" s="22">
        <f t="shared" si="33"/>
        <v>0</v>
      </c>
    </row>
    <row r="2074" spans="2:6">
      <c r="B2074" s="20"/>
      <c r="C2074" s="21"/>
      <c r="D2074" s="21"/>
      <c r="E2074" s="22"/>
      <c r="F2074" s="22">
        <f t="shared" si="33"/>
        <v>0</v>
      </c>
    </row>
    <row r="2075" spans="2:6" ht="17" thickBot="1">
      <c r="B2075" s="6" t="s">
        <v>19</v>
      </c>
      <c r="C2075" s="8"/>
      <c r="D2075" s="8"/>
      <c r="E2075" s="8"/>
      <c r="F2075" s="23">
        <f>SUM(F2069:F2074)</f>
        <v>1750</v>
      </c>
    </row>
    <row r="2076" spans="2:6" ht="17" thickBot="1">
      <c r="B2076" s="8"/>
      <c r="C2076" s="8"/>
      <c r="D2076" s="8"/>
      <c r="E2076" s="8"/>
    </row>
    <row r="2077" spans="2:6" ht="15" thickTop="1" thickBot="1">
      <c r="B2077" s="16" t="s">
        <v>20</v>
      </c>
      <c r="C2077" s="17" t="s">
        <v>14</v>
      </c>
      <c r="D2077" s="17" t="s">
        <v>15</v>
      </c>
      <c r="E2077" s="17" t="s">
        <v>16</v>
      </c>
      <c r="F2077" s="18" t="s">
        <v>17</v>
      </c>
    </row>
    <row r="2078" spans="2:6" ht="17" thickTop="1">
      <c r="B2078" s="8"/>
      <c r="C2078" s="8"/>
      <c r="D2078" s="8"/>
      <c r="E2078" s="8"/>
    </row>
    <row r="2079" spans="2:6">
      <c r="B2079" s="24" t="s">
        <v>21</v>
      </c>
      <c r="C2079" s="20" t="s">
        <v>22</v>
      </c>
      <c r="D2079" s="20">
        <v>3.3000000000000002E-2</v>
      </c>
      <c r="E2079" s="22">
        <v>27500</v>
      </c>
      <c r="F2079" s="25">
        <f>E2079*D2079</f>
        <v>907.5</v>
      </c>
    </row>
    <row r="2080" spans="2:6">
      <c r="B2080" s="20" t="s">
        <v>23</v>
      </c>
      <c r="C2080" s="20" t="s">
        <v>22</v>
      </c>
      <c r="D2080" s="20">
        <v>3.3000000000000002E-2</v>
      </c>
      <c r="E2080" s="22">
        <v>15000</v>
      </c>
      <c r="F2080" s="25">
        <f>E2080*D2080</f>
        <v>495</v>
      </c>
    </row>
    <row r="2081" spans="2:6" ht="16">
      <c r="B2081" s="26"/>
      <c r="C2081" s="26"/>
      <c r="D2081" s="26"/>
      <c r="E2081" s="26"/>
      <c r="F2081" s="25">
        <f>E2081*D2081</f>
        <v>0</v>
      </c>
    </row>
    <row r="2082" spans="2:6" ht="16">
      <c r="B2082" s="26"/>
      <c r="C2082" s="26"/>
      <c r="D2082" s="26"/>
      <c r="E2082" s="26"/>
      <c r="F2082" s="25">
        <f>E2082*D2082</f>
        <v>0</v>
      </c>
    </row>
    <row r="2083" spans="2:6" ht="16">
      <c r="B2083" s="27" t="s">
        <v>25</v>
      </c>
      <c r="C2083" s="27" t="s">
        <v>26</v>
      </c>
      <c r="D2083" s="28">
        <v>0.32</v>
      </c>
      <c r="E2083" s="29">
        <f>SUM(E2079:E2082)*D2083</f>
        <v>13600</v>
      </c>
      <c r="F2083" s="25">
        <f>E2083*D2083</f>
        <v>4352</v>
      </c>
    </row>
    <row r="2084" spans="2:6" ht="16">
      <c r="B2084" s="8"/>
      <c r="C2084" s="8"/>
      <c r="D2084" s="8"/>
      <c r="E2084" s="8"/>
    </row>
    <row r="2085" spans="2:6" ht="17" thickBot="1">
      <c r="B2085" s="6" t="s">
        <v>27</v>
      </c>
      <c r="C2085" s="8"/>
      <c r="D2085" s="8"/>
      <c r="E2085" s="8"/>
      <c r="F2085" s="23">
        <f>SUM(F2079:F2084)</f>
        <v>5754.5</v>
      </c>
    </row>
    <row r="2086" spans="2:6" ht="17" thickBot="1">
      <c r="B2086" s="8"/>
      <c r="C2086" s="8"/>
      <c r="D2086" s="8"/>
      <c r="E2086" s="8"/>
    </row>
    <row r="2087" spans="2:6" ht="15" thickTop="1" thickBot="1">
      <c r="B2087" s="16" t="s">
        <v>28</v>
      </c>
      <c r="C2087" s="17" t="s">
        <v>14</v>
      </c>
      <c r="D2087" s="17" t="s">
        <v>15</v>
      </c>
      <c r="E2087" s="17" t="s">
        <v>16</v>
      </c>
      <c r="F2087" s="18" t="s">
        <v>17</v>
      </c>
    </row>
    <row r="2088" spans="2:6" ht="17" thickTop="1">
      <c r="B2088" s="8"/>
      <c r="C2088" s="8"/>
      <c r="D2088" s="8"/>
      <c r="E2088" s="8"/>
    </row>
    <row r="2089" spans="2:6">
      <c r="B2089" s="20" t="s">
        <v>31</v>
      </c>
      <c r="C2089" s="20" t="s">
        <v>32</v>
      </c>
      <c r="D2089" s="68">
        <v>0.01</v>
      </c>
      <c r="E2089" s="22">
        <v>25000</v>
      </c>
      <c r="F2089" s="25">
        <f>E2089*D2089</f>
        <v>250</v>
      </c>
    </row>
    <row r="2090" spans="2:6">
      <c r="B2090" s="20"/>
      <c r="C2090" s="20"/>
      <c r="D2090" s="68"/>
      <c r="E2090" s="22"/>
      <c r="F2090" s="25">
        <f>E2090*D2090</f>
        <v>0</v>
      </c>
    </row>
    <row r="2091" spans="2:6" ht="16">
      <c r="B2091" s="26"/>
      <c r="C2091" s="26"/>
      <c r="D2091" s="26"/>
      <c r="E2091" s="26"/>
      <c r="F2091" s="25">
        <f>E2091*D2091</f>
        <v>0</v>
      </c>
    </row>
    <row r="2092" spans="2:6" ht="16">
      <c r="B2092" s="26"/>
      <c r="C2092" s="26"/>
      <c r="D2092" s="26"/>
      <c r="E2092" s="26"/>
      <c r="F2092" s="25">
        <f>E2092*D2092</f>
        <v>0</v>
      </c>
    </row>
    <row r="2093" spans="2:6" ht="16">
      <c r="B2093" s="30"/>
      <c r="C2093" s="26"/>
      <c r="D2093" s="26"/>
      <c r="E2093" s="26"/>
      <c r="F2093" s="25">
        <f>E2093*D2093</f>
        <v>0</v>
      </c>
    </row>
    <row r="2094" spans="2:6" ht="16">
      <c r="B2094" s="8"/>
      <c r="C2094" s="8"/>
      <c r="D2094" s="8"/>
      <c r="E2094" s="8"/>
    </row>
    <row r="2095" spans="2:6" ht="14" thickBot="1">
      <c r="B2095" s="19" t="s">
        <v>33</v>
      </c>
      <c r="C2095" s="19"/>
      <c r="D2095" s="19"/>
      <c r="E2095" s="19"/>
      <c r="F2095" s="23">
        <f>SUM(F2089:F2094)</f>
        <v>250</v>
      </c>
    </row>
    <row r="2096" spans="2:6" ht="16">
      <c r="B2096" s="8"/>
      <c r="C2096" s="8"/>
      <c r="D2096" s="8"/>
      <c r="E2096" s="8"/>
    </row>
    <row r="2097" spans="2:6" ht="17" thickBot="1">
      <c r="B2097" s="8"/>
      <c r="C2097" s="8"/>
      <c r="D2097" s="8"/>
      <c r="E2097" s="8"/>
    </row>
    <row r="2098" spans="2:6" ht="17" thickBot="1">
      <c r="B2098" s="31" t="s">
        <v>34</v>
      </c>
      <c r="C2098" s="13"/>
      <c r="D2098" s="13"/>
      <c r="E2098" s="13"/>
      <c r="F2098" s="32">
        <f>F2075+F2085+F2095</f>
        <v>7754.5</v>
      </c>
    </row>
    <row r="2099" spans="2:6" ht="17" thickBot="1">
      <c r="B2099" s="31" t="s">
        <v>35</v>
      </c>
      <c r="C2099" s="13"/>
      <c r="D2099" s="13"/>
      <c r="E2099" s="33">
        <v>0.1</v>
      </c>
      <c r="F2099" s="32">
        <f>F2098*E2099</f>
        <v>775.45</v>
      </c>
    </row>
    <row r="2100" spans="2:6" ht="17" thickBot="1">
      <c r="B2100" s="31" t="s">
        <v>36</v>
      </c>
      <c r="C2100" s="13"/>
      <c r="D2100" s="13"/>
      <c r="E2100" s="33">
        <f>E1928</f>
        <v>0.1</v>
      </c>
      <c r="F2100" s="32">
        <f>F2098*E2100</f>
        <v>775.45</v>
      </c>
    </row>
    <row r="2101" spans="2:6" ht="17" thickBot="1">
      <c r="B2101" s="34" t="s">
        <v>37</v>
      </c>
      <c r="C2101" s="35"/>
      <c r="D2101" s="35"/>
      <c r="E2101" s="35"/>
      <c r="F2101" s="32">
        <f>SUM(F2098:F2100)</f>
        <v>9305.4000000000015</v>
      </c>
    </row>
    <row r="2102" spans="2:6" ht="17" thickBot="1">
      <c r="B2102" s="36"/>
      <c r="C2102" s="8"/>
      <c r="D2102" s="8"/>
      <c r="E2102" s="8"/>
    </row>
    <row r="2103" spans="2:6" ht="18" thickTop="1" thickBot="1">
      <c r="B2103" s="37" t="s">
        <v>38</v>
      </c>
      <c r="C2103" s="8"/>
      <c r="D2103" s="8"/>
      <c r="E2103" s="8"/>
    </row>
    <row r="2104" spans="2:6" ht="18" thickTop="1" thickBot="1">
      <c r="B2104" s="8"/>
      <c r="C2104" s="8"/>
      <c r="D2104" s="8"/>
      <c r="E2104" s="8"/>
    </row>
    <row r="2105" spans="2:6" ht="17" thickTop="1">
      <c r="B2105" s="38"/>
      <c r="C2105" s="13"/>
      <c r="D2105" s="13"/>
      <c r="E2105" s="39"/>
      <c r="F2105" s="40"/>
    </row>
    <row r="2106" spans="2:6" ht="16">
      <c r="B2106" s="38"/>
      <c r="C2106" s="13"/>
      <c r="D2106" s="13"/>
      <c r="E2106" s="41"/>
      <c r="F2106" s="42"/>
    </row>
    <row r="2107" spans="2:6" ht="16">
      <c r="B2107" s="38"/>
      <c r="C2107" s="13"/>
      <c r="D2107" s="13"/>
      <c r="E2107" s="41"/>
      <c r="F2107" s="42"/>
    </row>
    <row r="2108" spans="2:6" ht="17" thickBot="1">
      <c r="B2108" s="54"/>
      <c r="C2108" s="35"/>
      <c r="D2108" s="35"/>
      <c r="E2108" s="44"/>
      <c r="F2108" s="45"/>
    </row>
    <row r="2109" spans="2:6" ht="17" thickTop="1">
      <c r="B2109" s="46"/>
      <c r="C2109" s="46"/>
      <c r="D2109" s="46"/>
      <c r="E2109" s="47"/>
      <c r="F2109" s="47"/>
    </row>
    <row r="2110" spans="2:6" ht="14" thickBot="1">
      <c r="B2110" s="1" t="s">
        <v>0</v>
      </c>
      <c r="C2110" s="1"/>
    </row>
    <row r="2111" spans="2:6" ht="17" thickBot="1">
      <c r="B2111" s="1" t="s">
        <v>1</v>
      </c>
      <c r="C2111" s="1"/>
      <c r="E2111" s="4" t="s">
        <v>2</v>
      </c>
      <c r="F2111" s="5"/>
    </row>
    <row r="2112" spans="2:6">
      <c r="B2112" s="6"/>
    </row>
    <row r="2113" spans="2:6" ht="16">
      <c r="B2113" s="7" t="s">
        <v>3</v>
      </c>
      <c r="C2113" s="7"/>
      <c r="D2113" s="7"/>
      <c r="E2113" s="7"/>
      <c r="F2113" s="7"/>
    </row>
    <row r="2114" spans="2:6" ht="16">
      <c r="B2114" s="8"/>
      <c r="C2114" s="8"/>
      <c r="D2114" s="8"/>
      <c r="E2114" s="8"/>
    </row>
    <row r="2115" spans="2:6" ht="20" customHeight="1">
      <c r="B2115" s="9" t="s">
        <v>4</v>
      </c>
      <c r="C2115" s="10" t="str">
        <f>C2058</f>
        <v>MEJORAMIENTO ESPACIO PUBLICO JJVV LUCILA GODOY ALCAYAGA</v>
      </c>
      <c r="D2115" s="10"/>
      <c r="E2115" s="10"/>
      <c r="F2115" s="11"/>
    </row>
    <row r="2116" spans="2:6" ht="16">
      <c r="B2116" s="12"/>
      <c r="C2116" s="8"/>
      <c r="D2116" s="8"/>
      <c r="E2116" s="8"/>
    </row>
    <row r="2117" spans="2:6" ht="16">
      <c r="B2117" s="9" t="s">
        <v>5</v>
      </c>
      <c r="C2117" s="13" t="s">
        <v>6</v>
      </c>
      <c r="D2117" s="13"/>
      <c r="E2117" s="13"/>
      <c r="F2117" s="14"/>
    </row>
    <row r="2118" spans="2:6" ht="16">
      <c r="B2118" s="9"/>
      <c r="C2118" s="13"/>
      <c r="D2118" s="13"/>
      <c r="E2118" s="13"/>
      <c r="F2118" s="14"/>
    </row>
    <row r="2119" spans="2:6" ht="16">
      <c r="B2119" s="9" t="s">
        <v>7</v>
      </c>
      <c r="C2119" s="13" t="str">
        <f>[1]LGA!A57</f>
        <v>3.1.1</v>
      </c>
      <c r="D2119" s="13"/>
      <c r="E2119" s="13"/>
      <c r="F2119" s="14"/>
    </row>
    <row r="2120" spans="2:6" ht="16">
      <c r="B2120" s="9" t="s">
        <v>8</v>
      </c>
      <c r="C2120" s="13" t="s">
        <v>89</v>
      </c>
      <c r="D2120" s="13"/>
      <c r="E2120" s="13"/>
      <c r="F2120" s="14"/>
    </row>
    <row r="2121" spans="2:6" ht="16">
      <c r="B2121" s="9" t="s">
        <v>10</v>
      </c>
      <c r="C2121" s="13" t="s">
        <v>81</v>
      </c>
      <c r="D2121" s="13"/>
      <c r="E2121" s="13"/>
      <c r="F2121" s="14"/>
    </row>
    <row r="2122" spans="2:6" ht="16">
      <c r="B2122" s="9" t="s">
        <v>12</v>
      </c>
      <c r="C2122" s="15">
        <f>C2065</f>
        <v>46024</v>
      </c>
      <c r="D2122" s="13"/>
      <c r="E2122" s="13"/>
      <c r="F2122" s="14"/>
    </row>
    <row r="2123" spans="2:6" ht="17" thickBot="1">
      <c r="B2123" s="8"/>
      <c r="C2123" s="8"/>
      <c r="D2123" s="8"/>
      <c r="E2123" s="8"/>
    </row>
    <row r="2124" spans="2:6" ht="15" thickTop="1" thickBot="1">
      <c r="B2124" s="16" t="s">
        <v>13</v>
      </c>
      <c r="C2124" s="17" t="s">
        <v>14</v>
      </c>
      <c r="D2124" s="17" t="s">
        <v>15</v>
      </c>
      <c r="E2124" s="17" t="s">
        <v>16</v>
      </c>
      <c r="F2124" s="18" t="s">
        <v>17</v>
      </c>
    </row>
    <row r="2125" spans="2:6" ht="14" thickTop="1">
      <c r="B2125" s="19"/>
      <c r="C2125" s="19"/>
      <c r="D2125" s="19"/>
      <c r="E2125" s="19"/>
      <c r="F2125" s="19"/>
    </row>
    <row r="2126" spans="2:6">
      <c r="B2126" s="20"/>
      <c r="C2126" s="21"/>
      <c r="D2126" s="21"/>
      <c r="E2126" s="22"/>
      <c r="F2126" s="22">
        <f t="shared" ref="F2126:F2131" si="34">E2126*D2126</f>
        <v>0</v>
      </c>
    </row>
    <row r="2127" spans="2:6">
      <c r="B2127" s="20"/>
      <c r="C2127" s="21"/>
      <c r="D2127" s="21"/>
      <c r="E2127" s="22"/>
      <c r="F2127" s="22">
        <f t="shared" si="34"/>
        <v>0</v>
      </c>
    </row>
    <row r="2128" spans="2:6">
      <c r="B2128" s="20"/>
      <c r="C2128" s="21"/>
      <c r="D2128" s="21"/>
      <c r="E2128" s="22"/>
      <c r="F2128" s="22">
        <f t="shared" si="34"/>
        <v>0</v>
      </c>
    </row>
    <row r="2129" spans="2:6">
      <c r="B2129" s="20"/>
      <c r="C2129" s="21"/>
      <c r="D2129" s="21"/>
      <c r="E2129" s="22"/>
      <c r="F2129" s="22">
        <f t="shared" si="34"/>
        <v>0</v>
      </c>
    </row>
    <row r="2130" spans="2:6">
      <c r="B2130" s="20"/>
      <c r="C2130" s="21"/>
      <c r="D2130" s="21"/>
      <c r="E2130" s="22"/>
      <c r="F2130" s="22">
        <f t="shared" si="34"/>
        <v>0</v>
      </c>
    </row>
    <row r="2131" spans="2:6">
      <c r="B2131" s="20"/>
      <c r="C2131" s="21"/>
      <c r="D2131" s="21"/>
      <c r="E2131" s="22"/>
      <c r="F2131" s="22">
        <f t="shared" si="34"/>
        <v>0</v>
      </c>
    </row>
    <row r="2132" spans="2:6" ht="17" thickBot="1">
      <c r="B2132" s="6" t="s">
        <v>19</v>
      </c>
      <c r="C2132" s="8"/>
      <c r="D2132" s="8"/>
      <c r="E2132" s="8"/>
      <c r="F2132" s="23">
        <f>SUM(F2126:F2131)</f>
        <v>0</v>
      </c>
    </row>
    <row r="2133" spans="2:6" ht="17" thickBot="1">
      <c r="B2133" s="8"/>
      <c r="C2133" s="8"/>
      <c r="D2133" s="8"/>
      <c r="E2133" s="8"/>
    </row>
    <row r="2134" spans="2:6" ht="15" thickTop="1" thickBot="1">
      <c r="B2134" s="16" t="s">
        <v>20</v>
      </c>
      <c r="C2134" s="17" t="s">
        <v>14</v>
      </c>
      <c r="D2134" s="17" t="s">
        <v>15</v>
      </c>
      <c r="E2134" s="17" t="s">
        <v>16</v>
      </c>
      <c r="F2134" s="18" t="s">
        <v>17</v>
      </c>
    </row>
    <row r="2135" spans="2:6" ht="17" thickTop="1">
      <c r="B2135" s="8"/>
      <c r="C2135" s="8"/>
      <c r="D2135" s="8"/>
      <c r="E2135" s="8"/>
    </row>
    <row r="2136" spans="2:6">
      <c r="B2136" s="24" t="s">
        <v>21</v>
      </c>
      <c r="C2136" s="20" t="s">
        <v>22</v>
      </c>
      <c r="D2136" s="20">
        <v>4.3999999999999997E-2</v>
      </c>
      <c r="E2136" s="22">
        <v>27500</v>
      </c>
      <c r="F2136" s="25">
        <f>E2136*D2136</f>
        <v>1210</v>
      </c>
    </row>
    <row r="2137" spans="2:6">
      <c r="B2137" s="20" t="s">
        <v>23</v>
      </c>
      <c r="C2137" s="20" t="s">
        <v>22</v>
      </c>
      <c r="D2137" s="20">
        <v>4.3999999999999997E-2</v>
      </c>
      <c r="E2137" s="22">
        <v>15000</v>
      </c>
      <c r="F2137" s="25">
        <f>E2137*D2137</f>
        <v>660</v>
      </c>
    </row>
    <row r="2138" spans="2:6" ht="16">
      <c r="B2138" s="26"/>
      <c r="C2138" s="26"/>
      <c r="D2138" s="26"/>
      <c r="E2138" s="26"/>
      <c r="F2138" s="25">
        <f>E2138*D2138</f>
        <v>0</v>
      </c>
    </row>
    <row r="2139" spans="2:6" ht="16">
      <c r="B2139" s="26"/>
      <c r="C2139" s="26"/>
      <c r="D2139" s="26"/>
      <c r="E2139" s="26"/>
      <c r="F2139" s="25">
        <f>E2139*D2139</f>
        <v>0</v>
      </c>
    </row>
    <row r="2140" spans="2:6" ht="16">
      <c r="B2140" s="27" t="s">
        <v>25</v>
      </c>
      <c r="C2140" s="27" t="s">
        <v>26</v>
      </c>
      <c r="D2140" s="28">
        <v>0.32</v>
      </c>
      <c r="E2140" s="29">
        <f>SUM(E2136:E2139)*D2140</f>
        <v>13600</v>
      </c>
      <c r="F2140" s="25">
        <f>E2140*D2140</f>
        <v>4352</v>
      </c>
    </row>
    <row r="2141" spans="2:6" ht="16">
      <c r="B2141" s="8"/>
      <c r="C2141" s="8"/>
      <c r="D2141" s="8"/>
      <c r="E2141" s="8"/>
    </row>
    <row r="2142" spans="2:6" ht="17" thickBot="1">
      <c r="B2142" s="6" t="s">
        <v>27</v>
      </c>
      <c r="C2142" s="8"/>
      <c r="D2142" s="8"/>
      <c r="E2142" s="8"/>
      <c r="F2142" s="23">
        <f>SUM(F2136:F2141)</f>
        <v>6222</v>
      </c>
    </row>
    <row r="2143" spans="2:6" ht="17" thickBot="1">
      <c r="B2143" s="8"/>
      <c r="C2143" s="8"/>
      <c r="D2143" s="8"/>
      <c r="E2143" s="8"/>
    </row>
    <row r="2144" spans="2:6" ht="15" thickTop="1" thickBot="1">
      <c r="B2144" s="16" t="s">
        <v>28</v>
      </c>
      <c r="C2144" s="17" t="s">
        <v>14</v>
      </c>
      <c r="D2144" s="17" t="s">
        <v>15</v>
      </c>
      <c r="E2144" s="17" t="s">
        <v>16</v>
      </c>
      <c r="F2144" s="18" t="s">
        <v>17</v>
      </c>
    </row>
    <row r="2145" spans="2:6" ht="17" thickTop="1">
      <c r="B2145" s="8"/>
      <c r="C2145" s="8"/>
      <c r="D2145" s="8"/>
      <c r="E2145" s="8"/>
    </row>
    <row r="2146" spans="2:6">
      <c r="B2146" s="20" t="s">
        <v>64</v>
      </c>
      <c r="C2146" s="20" t="s">
        <v>30</v>
      </c>
      <c r="D2146" s="20">
        <v>0.1</v>
      </c>
      <c r="E2146" s="22">
        <v>45000</v>
      </c>
      <c r="F2146" s="25">
        <f>E2146*D2146</f>
        <v>4500</v>
      </c>
    </row>
    <row r="2147" spans="2:6">
      <c r="B2147" s="20" t="s">
        <v>90</v>
      </c>
      <c r="C2147" s="20" t="s">
        <v>30</v>
      </c>
      <c r="D2147" s="20">
        <v>0.1</v>
      </c>
      <c r="E2147" s="22">
        <v>65000</v>
      </c>
      <c r="F2147" s="25">
        <f>E2147*D2147</f>
        <v>6500</v>
      </c>
    </row>
    <row r="2148" spans="2:6" ht="16">
      <c r="B2148" s="26"/>
      <c r="C2148" s="26"/>
      <c r="D2148" s="26"/>
      <c r="E2148" s="26"/>
      <c r="F2148" s="25">
        <f>E2148*D2148</f>
        <v>0</v>
      </c>
    </row>
    <row r="2149" spans="2:6" ht="16">
      <c r="B2149" s="26"/>
      <c r="C2149" s="26"/>
      <c r="D2149" s="26"/>
      <c r="E2149" s="26"/>
      <c r="F2149" s="25">
        <f>E2149*D2149</f>
        <v>0</v>
      </c>
    </row>
    <row r="2150" spans="2:6" ht="16">
      <c r="B2150" s="30"/>
      <c r="C2150" s="26"/>
      <c r="D2150" s="26"/>
      <c r="E2150" s="26"/>
      <c r="F2150" s="25">
        <f>E2150*D2150</f>
        <v>0</v>
      </c>
    </row>
    <row r="2151" spans="2:6" ht="16">
      <c r="B2151" s="8"/>
      <c r="C2151" s="8"/>
      <c r="D2151" s="8"/>
      <c r="E2151" s="8"/>
    </row>
    <row r="2152" spans="2:6" ht="14" thickBot="1">
      <c r="B2152" s="19" t="s">
        <v>33</v>
      </c>
      <c r="C2152" s="19"/>
      <c r="D2152" s="19"/>
      <c r="E2152" s="19"/>
      <c r="F2152" s="23">
        <f>SUM(F2146:F2151)</f>
        <v>11000</v>
      </c>
    </row>
    <row r="2153" spans="2:6" ht="16">
      <c r="B2153" s="8"/>
      <c r="C2153" s="8"/>
      <c r="D2153" s="8"/>
      <c r="E2153" s="8"/>
    </row>
    <row r="2154" spans="2:6" ht="17" thickBot="1">
      <c r="B2154" s="8"/>
      <c r="C2154" s="8"/>
      <c r="D2154" s="8"/>
      <c r="E2154" s="8"/>
    </row>
    <row r="2155" spans="2:6" ht="17" thickBot="1">
      <c r="B2155" s="31" t="s">
        <v>34</v>
      </c>
      <c r="C2155" s="13"/>
      <c r="D2155" s="13"/>
      <c r="E2155" s="13"/>
      <c r="F2155" s="32">
        <f>F2132+F2142+F2152</f>
        <v>17222</v>
      </c>
    </row>
    <row r="2156" spans="2:6" ht="17" thickBot="1">
      <c r="B2156" s="31" t="s">
        <v>35</v>
      </c>
      <c r="C2156" s="13"/>
      <c r="D2156" s="13"/>
      <c r="E2156" s="33">
        <v>0.1</v>
      </c>
      <c r="F2156" s="32">
        <f>F2155*E2156</f>
        <v>1722.2</v>
      </c>
    </row>
    <row r="2157" spans="2:6" ht="17" thickBot="1">
      <c r="B2157" s="31" t="s">
        <v>36</v>
      </c>
      <c r="C2157" s="13"/>
      <c r="D2157" s="13"/>
      <c r="E2157" s="33">
        <v>0.1</v>
      </c>
      <c r="F2157" s="32">
        <f>F2155*E2157</f>
        <v>1722.2</v>
      </c>
    </row>
    <row r="2158" spans="2:6" ht="17" thickBot="1">
      <c r="B2158" s="34" t="s">
        <v>37</v>
      </c>
      <c r="C2158" s="35"/>
      <c r="D2158" s="35"/>
      <c r="E2158" s="35"/>
      <c r="F2158" s="32">
        <f>SUM(F2155:F2157)</f>
        <v>20666.400000000001</v>
      </c>
    </row>
    <row r="2159" spans="2:6" ht="17" thickBot="1">
      <c r="B2159" s="36"/>
      <c r="C2159" s="8"/>
      <c r="D2159" s="8"/>
      <c r="E2159" s="8"/>
    </row>
    <row r="2160" spans="2:6" ht="18" thickTop="1" thickBot="1">
      <c r="B2160" s="37" t="s">
        <v>38</v>
      </c>
      <c r="C2160" s="8"/>
      <c r="D2160" s="8"/>
      <c r="E2160" s="8"/>
    </row>
    <row r="2161" spans="2:6" ht="18" thickTop="1" thickBot="1">
      <c r="B2161" s="8"/>
      <c r="C2161" s="8"/>
      <c r="D2161" s="8"/>
      <c r="E2161" s="8"/>
    </row>
    <row r="2162" spans="2:6" ht="17" thickTop="1">
      <c r="B2162" s="38"/>
      <c r="C2162" s="13"/>
      <c r="D2162" s="13"/>
      <c r="E2162" s="39"/>
      <c r="F2162" s="40"/>
    </row>
    <row r="2163" spans="2:6" ht="16">
      <c r="B2163" s="38"/>
      <c r="C2163" s="13"/>
      <c r="D2163" s="13"/>
      <c r="E2163" s="41"/>
      <c r="F2163" s="42"/>
    </row>
    <row r="2164" spans="2:6" ht="16">
      <c r="B2164" s="38"/>
      <c r="C2164" s="13"/>
      <c r="D2164" s="13"/>
      <c r="E2164" s="41"/>
      <c r="F2164" s="42"/>
    </row>
    <row r="2165" spans="2:6" ht="17" thickBot="1">
      <c r="B2165" s="54"/>
      <c r="C2165" s="35"/>
      <c r="D2165" s="35"/>
      <c r="E2165" s="44"/>
      <c r="F2165" s="45"/>
    </row>
    <row r="2166" spans="2:6" ht="17" thickTop="1">
      <c r="B2166" s="46"/>
      <c r="C2166" s="46"/>
      <c r="D2166" s="46"/>
      <c r="E2166" s="47"/>
      <c r="F2166" s="47"/>
    </row>
    <row r="2167" spans="2:6" ht="16">
      <c r="B2167" s="46"/>
      <c r="C2167" s="46"/>
      <c r="D2167" s="46"/>
      <c r="E2167" s="47"/>
      <c r="F2167" s="47"/>
    </row>
    <row r="2168" spans="2:6" ht="14" thickBot="1">
      <c r="B2168" s="1" t="s">
        <v>0</v>
      </c>
      <c r="C2168" s="1"/>
    </row>
    <row r="2169" spans="2:6" ht="17" thickBot="1">
      <c r="B2169" s="1" t="s">
        <v>1</v>
      </c>
      <c r="C2169" s="1"/>
      <c r="E2169" s="4" t="s">
        <v>2</v>
      </c>
      <c r="F2169" s="5"/>
    </row>
    <row r="2170" spans="2:6">
      <c r="B2170" s="6"/>
    </row>
    <row r="2171" spans="2:6" ht="16">
      <c r="B2171" s="7" t="s">
        <v>3</v>
      </c>
      <c r="C2171" s="7"/>
      <c r="D2171" s="7"/>
      <c r="E2171" s="7"/>
      <c r="F2171" s="7"/>
    </row>
    <row r="2172" spans="2:6" ht="16">
      <c r="B2172" s="8"/>
      <c r="C2172" s="8"/>
      <c r="D2172" s="8"/>
      <c r="E2172" s="8"/>
    </row>
    <row r="2173" spans="2:6" ht="16">
      <c r="B2173" s="9" t="s">
        <v>4</v>
      </c>
      <c r="C2173" s="13" t="str">
        <f>C2115</f>
        <v>MEJORAMIENTO ESPACIO PUBLICO JJVV LUCILA GODOY ALCAYAGA</v>
      </c>
      <c r="D2173" s="13"/>
      <c r="E2173" s="13"/>
      <c r="F2173" s="14"/>
    </row>
    <row r="2174" spans="2:6" ht="16">
      <c r="B2174" s="12"/>
      <c r="C2174" s="8"/>
      <c r="D2174" s="8"/>
      <c r="E2174" s="8"/>
    </row>
    <row r="2175" spans="2:6" ht="16">
      <c r="B2175" s="9" t="s">
        <v>5</v>
      </c>
      <c r="C2175" s="13" t="s">
        <v>6</v>
      </c>
      <c r="D2175" s="13"/>
      <c r="E2175" s="13"/>
      <c r="F2175" s="14"/>
    </row>
    <row r="2176" spans="2:6" ht="16">
      <c r="B2176" s="9"/>
      <c r="C2176" s="13"/>
      <c r="D2176" s="13"/>
      <c r="E2176" s="13"/>
      <c r="F2176" s="14"/>
    </row>
    <row r="2177" spans="2:6" ht="16">
      <c r="B2177" s="9" t="s">
        <v>7</v>
      </c>
      <c r="C2177" s="13" t="str">
        <f>[1]LGA!A58</f>
        <v>3.1.2</v>
      </c>
      <c r="D2177" s="13"/>
      <c r="E2177" s="13"/>
      <c r="F2177" s="14"/>
    </row>
    <row r="2178" spans="2:6" ht="16">
      <c r="B2178" s="9" t="s">
        <v>8</v>
      </c>
      <c r="C2178" s="13" t="s">
        <v>94</v>
      </c>
      <c r="D2178" s="13"/>
      <c r="E2178" s="13"/>
      <c r="F2178" s="14"/>
    </row>
    <row r="2179" spans="2:6" ht="16">
      <c r="B2179" s="9" t="s">
        <v>10</v>
      </c>
      <c r="C2179" s="13" t="s">
        <v>95</v>
      </c>
      <c r="D2179" s="13"/>
      <c r="E2179" s="13"/>
      <c r="F2179" s="14"/>
    </row>
    <row r="2180" spans="2:6" ht="16">
      <c r="B2180" s="9" t="s">
        <v>12</v>
      </c>
      <c r="C2180" s="15">
        <f>C2122</f>
        <v>46024</v>
      </c>
      <c r="D2180" s="13"/>
      <c r="E2180" s="13"/>
      <c r="F2180" s="14"/>
    </row>
    <row r="2181" spans="2:6" ht="17" thickBot="1">
      <c r="B2181" s="8"/>
      <c r="C2181" s="8"/>
      <c r="D2181" s="8"/>
      <c r="E2181" s="8"/>
    </row>
    <row r="2182" spans="2:6" ht="15" thickTop="1" thickBot="1">
      <c r="B2182" s="16" t="s">
        <v>13</v>
      </c>
      <c r="C2182" s="17" t="s">
        <v>14</v>
      </c>
      <c r="D2182" s="17" t="s">
        <v>15</v>
      </c>
      <c r="E2182" s="17" t="s">
        <v>16</v>
      </c>
      <c r="F2182" s="18" t="s">
        <v>17</v>
      </c>
    </row>
    <row r="2183" spans="2:6" ht="14" thickTop="1">
      <c r="B2183" s="19"/>
      <c r="C2183" s="19"/>
      <c r="D2183" s="19"/>
      <c r="E2183" s="19"/>
      <c r="F2183" s="19"/>
    </row>
    <row r="2184" spans="2:6">
      <c r="B2184" s="20" t="s">
        <v>96</v>
      </c>
      <c r="C2184" s="21" t="s">
        <v>43</v>
      </c>
      <c r="D2184" s="21">
        <v>3.3000000000000002E-2</v>
      </c>
      <c r="E2184" s="22">
        <v>40000</v>
      </c>
      <c r="F2184" s="22">
        <f t="shared" ref="F2184:F2189" si="35">E2184*D2184</f>
        <v>1320</v>
      </c>
    </row>
    <row r="2185" spans="2:6">
      <c r="B2185" s="20" t="s">
        <v>57</v>
      </c>
      <c r="C2185" s="21" t="s">
        <v>43</v>
      </c>
      <c r="D2185" s="21">
        <v>0.77</v>
      </c>
      <c r="E2185" s="22">
        <v>3000</v>
      </c>
      <c r="F2185" s="22">
        <f t="shared" si="35"/>
        <v>2310</v>
      </c>
    </row>
    <row r="2186" spans="2:6">
      <c r="B2186" s="20" t="s">
        <v>58</v>
      </c>
      <c r="C2186" s="21" t="s">
        <v>43</v>
      </c>
      <c r="D2186" s="21">
        <v>0.44</v>
      </c>
      <c r="E2186" s="22">
        <v>6200</v>
      </c>
      <c r="F2186" s="22">
        <f t="shared" si="35"/>
        <v>2728</v>
      </c>
    </row>
    <row r="2187" spans="2:6">
      <c r="B2187" s="20" t="s">
        <v>97</v>
      </c>
      <c r="C2187" s="21" t="s">
        <v>49</v>
      </c>
      <c r="D2187" s="21">
        <v>0.22</v>
      </c>
      <c r="E2187" s="22">
        <v>3200</v>
      </c>
      <c r="F2187" s="22">
        <f t="shared" si="35"/>
        <v>704</v>
      </c>
    </row>
    <row r="2188" spans="2:6">
      <c r="B2188" s="20" t="s">
        <v>98</v>
      </c>
      <c r="C2188" s="21" t="s">
        <v>49</v>
      </c>
      <c r="D2188" s="21">
        <v>0.22</v>
      </c>
      <c r="E2188" s="22">
        <v>4000</v>
      </c>
      <c r="F2188" s="22">
        <f t="shared" si="35"/>
        <v>880</v>
      </c>
    </row>
    <row r="2189" spans="2:6">
      <c r="B2189" s="20" t="s">
        <v>99</v>
      </c>
      <c r="C2189" s="21" t="s">
        <v>43</v>
      </c>
      <c r="D2189" s="21">
        <v>1.4999999999999999E-2</v>
      </c>
      <c r="E2189" s="22">
        <v>100000</v>
      </c>
      <c r="F2189" s="22">
        <f t="shared" si="35"/>
        <v>1500</v>
      </c>
    </row>
    <row r="2190" spans="2:6" ht="17" thickBot="1">
      <c r="B2190" s="6" t="s">
        <v>19</v>
      </c>
      <c r="C2190" s="8"/>
      <c r="D2190" s="8"/>
      <c r="E2190" s="8"/>
      <c r="F2190" s="23">
        <f>SUM(F2184:F2189)</f>
        <v>9442</v>
      </c>
    </row>
    <row r="2191" spans="2:6" ht="17" thickBot="1">
      <c r="B2191" s="8"/>
      <c r="C2191" s="8"/>
      <c r="D2191" s="8"/>
      <c r="E2191" s="8"/>
    </row>
    <row r="2192" spans="2:6" ht="15" thickTop="1" thickBot="1">
      <c r="B2192" s="16" t="s">
        <v>20</v>
      </c>
      <c r="C2192" s="17" t="s">
        <v>14</v>
      </c>
      <c r="D2192" s="17" t="s">
        <v>15</v>
      </c>
      <c r="E2192" s="17" t="s">
        <v>16</v>
      </c>
      <c r="F2192" s="18" t="s">
        <v>17</v>
      </c>
    </row>
    <row r="2193" spans="2:6" ht="17" thickTop="1">
      <c r="B2193" s="8"/>
      <c r="C2193" s="8"/>
      <c r="D2193" s="8"/>
      <c r="E2193" s="8"/>
    </row>
    <row r="2194" spans="2:6">
      <c r="B2194" s="24" t="s">
        <v>21</v>
      </c>
      <c r="C2194" s="20" t="s">
        <v>22</v>
      </c>
      <c r="D2194" s="20">
        <v>0.19400000000000001</v>
      </c>
      <c r="E2194" s="22">
        <v>27500</v>
      </c>
      <c r="F2194" s="25">
        <f>E2194*D2194</f>
        <v>5335</v>
      </c>
    </row>
    <row r="2195" spans="2:6">
      <c r="B2195" s="20" t="s">
        <v>23</v>
      </c>
      <c r="C2195" s="20" t="s">
        <v>22</v>
      </c>
      <c r="D2195" s="20">
        <v>0.19400000000000001</v>
      </c>
      <c r="E2195" s="22">
        <v>15000</v>
      </c>
      <c r="F2195" s="25">
        <f>E2195*D2195</f>
        <v>2910</v>
      </c>
    </row>
    <row r="2196" spans="2:6" ht="16">
      <c r="B2196" s="26"/>
      <c r="C2196" s="26"/>
      <c r="D2196" s="26"/>
      <c r="E2196" s="26"/>
      <c r="F2196" s="25">
        <f>E2196*D2196</f>
        <v>0</v>
      </c>
    </row>
    <row r="2197" spans="2:6" ht="16">
      <c r="B2197" s="26"/>
      <c r="C2197" s="26"/>
      <c r="D2197" s="26"/>
      <c r="E2197" s="26"/>
      <c r="F2197" s="25">
        <f>E2197*D2197</f>
        <v>0</v>
      </c>
    </row>
    <row r="2198" spans="2:6" ht="16">
      <c r="B2198" s="27" t="s">
        <v>25</v>
      </c>
      <c r="C2198" s="27" t="s">
        <v>26</v>
      </c>
      <c r="D2198" s="28">
        <v>0.32</v>
      </c>
      <c r="E2198" s="29">
        <f>SUM(E2194:E2197)*D2198</f>
        <v>13600</v>
      </c>
      <c r="F2198" s="25">
        <f>E2198*D2198</f>
        <v>4352</v>
      </c>
    </row>
    <row r="2199" spans="2:6" ht="16">
      <c r="B2199" s="8"/>
      <c r="C2199" s="8"/>
      <c r="D2199" s="8"/>
      <c r="E2199" s="8"/>
    </row>
    <row r="2200" spans="2:6" ht="17" thickBot="1">
      <c r="B2200" s="6" t="s">
        <v>27</v>
      </c>
      <c r="C2200" s="8"/>
      <c r="D2200" s="8"/>
      <c r="E2200" s="8"/>
      <c r="F2200" s="23">
        <f>SUM(F2194:F2199)</f>
        <v>12597</v>
      </c>
    </row>
    <row r="2201" spans="2:6" ht="17" thickBot="1">
      <c r="B2201" s="8"/>
      <c r="C2201" s="8"/>
      <c r="D2201" s="8"/>
      <c r="E2201" s="8"/>
    </row>
    <row r="2202" spans="2:6" ht="15" thickTop="1" thickBot="1">
      <c r="B2202" s="16" t="s">
        <v>28</v>
      </c>
      <c r="C2202" s="17" t="s">
        <v>14</v>
      </c>
      <c r="D2202" s="17" t="s">
        <v>15</v>
      </c>
      <c r="E2202" s="17" t="s">
        <v>16</v>
      </c>
      <c r="F2202" s="18" t="s">
        <v>17</v>
      </c>
    </row>
    <row r="2203" spans="2:6" ht="17" thickTop="1">
      <c r="B2203" s="8"/>
      <c r="C2203" s="8"/>
      <c r="D2203" s="8"/>
      <c r="E2203" s="8"/>
    </row>
    <row r="2204" spans="2:6">
      <c r="B2204" s="20"/>
      <c r="C2204" s="20"/>
      <c r="D2204" s="20"/>
      <c r="E2204" s="22"/>
      <c r="F2204" s="25">
        <f>E2204*D2204</f>
        <v>0</v>
      </c>
    </row>
    <row r="2205" spans="2:6">
      <c r="B2205" s="20" t="s">
        <v>31</v>
      </c>
      <c r="C2205" s="20" t="s">
        <v>32</v>
      </c>
      <c r="D2205" s="68">
        <v>0.01</v>
      </c>
      <c r="E2205" s="22">
        <v>25000</v>
      </c>
      <c r="F2205" s="25">
        <f>E2205*D2205</f>
        <v>250</v>
      </c>
    </row>
    <row r="2206" spans="2:6" ht="16">
      <c r="B2206" s="26"/>
      <c r="C2206" s="26"/>
      <c r="D2206" s="26"/>
      <c r="E2206" s="26"/>
      <c r="F2206" s="25">
        <f>E2206*D2206</f>
        <v>0</v>
      </c>
    </row>
    <row r="2207" spans="2:6" ht="16">
      <c r="B2207" s="26"/>
      <c r="C2207" s="26"/>
      <c r="D2207" s="26"/>
      <c r="E2207" s="26"/>
      <c r="F2207" s="25">
        <f>E2207*D2207</f>
        <v>0</v>
      </c>
    </row>
    <row r="2208" spans="2:6" ht="16">
      <c r="B2208" s="30"/>
      <c r="C2208" s="26"/>
      <c r="D2208" s="26"/>
      <c r="E2208" s="26"/>
      <c r="F2208" s="25">
        <f>E2208*D2208</f>
        <v>0</v>
      </c>
    </row>
    <row r="2209" spans="2:6" ht="16">
      <c r="B2209" s="8"/>
      <c r="C2209" s="8"/>
      <c r="D2209" s="8"/>
      <c r="E2209" s="8"/>
    </row>
    <row r="2210" spans="2:6" ht="14" thickBot="1">
      <c r="B2210" s="19" t="s">
        <v>33</v>
      </c>
      <c r="C2210" s="19"/>
      <c r="D2210" s="19"/>
      <c r="E2210" s="19"/>
      <c r="F2210" s="23">
        <f>SUM(F2204:F2209)</f>
        <v>250</v>
      </c>
    </row>
    <row r="2211" spans="2:6" ht="16">
      <c r="B2211" s="8"/>
      <c r="C2211" s="8"/>
      <c r="D2211" s="8"/>
      <c r="E2211" s="8"/>
    </row>
    <row r="2212" spans="2:6" ht="17" thickBot="1">
      <c r="B2212" s="8"/>
      <c r="C2212" s="8"/>
      <c r="D2212" s="8"/>
      <c r="E2212" s="8"/>
    </row>
    <row r="2213" spans="2:6" ht="17" thickBot="1">
      <c r="B2213" s="31" t="s">
        <v>34</v>
      </c>
      <c r="C2213" s="13"/>
      <c r="D2213" s="13"/>
      <c r="E2213" s="13"/>
      <c r="F2213" s="32">
        <f>F2190+F2200+F2210</f>
        <v>22289</v>
      </c>
    </row>
    <row r="2214" spans="2:6" ht="17" thickBot="1">
      <c r="B2214" s="31" t="s">
        <v>35</v>
      </c>
      <c r="C2214" s="13"/>
      <c r="D2214" s="13"/>
      <c r="E2214" s="33">
        <v>0.1</v>
      </c>
      <c r="F2214" s="32">
        <f>F2213*E2214</f>
        <v>2228.9</v>
      </c>
    </row>
    <row r="2215" spans="2:6" ht="17" thickBot="1">
      <c r="B2215" s="31" t="s">
        <v>36</v>
      </c>
      <c r="C2215" s="13"/>
      <c r="D2215" s="13"/>
      <c r="E2215" s="33">
        <v>0.1</v>
      </c>
      <c r="F2215" s="32">
        <f>F2213*E2215</f>
        <v>2228.9</v>
      </c>
    </row>
    <row r="2216" spans="2:6" ht="17" thickBot="1">
      <c r="B2216" s="34" t="s">
        <v>37</v>
      </c>
      <c r="C2216" s="35"/>
      <c r="D2216" s="35"/>
      <c r="E2216" s="35"/>
      <c r="F2216" s="32">
        <f>SUM(F2213:F2215)</f>
        <v>26746.800000000003</v>
      </c>
    </row>
    <row r="2217" spans="2:6" ht="17" thickBot="1">
      <c r="B2217" s="36"/>
      <c r="C2217" s="8"/>
      <c r="D2217" s="8"/>
      <c r="E2217" s="8"/>
    </row>
    <row r="2218" spans="2:6" ht="18" thickTop="1" thickBot="1">
      <c r="B2218" s="37" t="s">
        <v>38</v>
      </c>
      <c r="C2218" s="8"/>
      <c r="D2218" s="8"/>
      <c r="E2218" s="8"/>
    </row>
    <row r="2219" spans="2:6" ht="18" thickTop="1" thickBot="1">
      <c r="B2219" s="8"/>
      <c r="C2219" s="8"/>
      <c r="D2219" s="8"/>
      <c r="E2219" s="8"/>
    </row>
    <row r="2220" spans="2:6" ht="17" thickTop="1">
      <c r="B2220" s="38"/>
      <c r="C2220" s="13"/>
      <c r="D2220" s="13"/>
      <c r="E2220" s="39"/>
      <c r="F2220" s="40"/>
    </row>
    <row r="2221" spans="2:6" ht="16">
      <c r="B2221" s="38"/>
      <c r="C2221" s="13"/>
      <c r="D2221" s="13"/>
      <c r="E2221" s="41"/>
      <c r="F2221" s="42"/>
    </row>
    <row r="2222" spans="2:6" ht="16">
      <c r="B2222" s="38"/>
      <c r="C2222" s="13"/>
      <c r="D2222" s="13"/>
      <c r="E2222" s="41"/>
      <c r="F2222" s="42"/>
    </row>
    <row r="2223" spans="2:6" ht="17" thickBot="1">
      <c r="B2223" s="54"/>
      <c r="C2223" s="35"/>
      <c r="D2223" s="35"/>
      <c r="E2223" s="44"/>
      <c r="F2223" s="45"/>
    </row>
    <row r="2224" spans="2:6" ht="17" thickTop="1">
      <c r="B2224" s="46"/>
      <c r="C2224" s="46"/>
      <c r="D2224" s="46"/>
      <c r="E2224" s="47"/>
      <c r="F2224" s="47"/>
    </row>
    <row r="2225" spans="2:6" ht="14" thickBot="1">
      <c r="B2225" s="1" t="s">
        <v>0</v>
      </c>
      <c r="C2225" s="1"/>
    </row>
    <row r="2226" spans="2:6" ht="17" thickBot="1">
      <c r="B2226" s="1" t="s">
        <v>1</v>
      </c>
      <c r="C2226" s="1"/>
      <c r="E2226" s="4" t="s">
        <v>2</v>
      </c>
      <c r="F2226" s="5"/>
    </row>
    <row r="2227" spans="2:6">
      <c r="B2227" s="6"/>
    </row>
    <row r="2228" spans="2:6" ht="16">
      <c r="B2228" s="7" t="s">
        <v>3</v>
      </c>
      <c r="C2228" s="7"/>
      <c r="D2228" s="7"/>
      <c r="E2228" s="7"/>
      <c r="F2228" s="7"/>
    </row>
    <row r="2229" spans="2:6" ht="16">
      <c r="B2229" s="8"/>
      <c r="C2229" s="8"/>
      <c r="D2229" s="8"/>
      <c r="E2229" s="8"/>
    </row>
    <row r="2230" spans="2:6" ht="25" customHeight="1">
      <c r="B2230" s="9" t="s">
        <v>4</v>
      </c>
      <c r="C2230" s="10" t="str">
        <f>C2173</f>
        <v>MEJORAMIENTO ESPACIO PUBLICO JJVV LUCILA GODOY ALCAYAGA</v>
      </c>
      <c r="D2230" s="10"/>
      <c r="E2230" s="10"/>
      <c r="F2230" s="11"/>
    </row>
    <row r="2231" spans="2:6" ht="16">
      <c r="B2231" s="12"/>
      <c r="C2231" s="8"/>
      <c r="D2231" s="8"/>
      <c r="E2231" s="8"/>
    </row>
    <row r="2232" spans="2:6" ht="16">
      <c r="B2232" s="9" t="s">
        <v>5</v>
      </c>
      <c r="C2232" s="13" t="s">
        <v>6</v>
      </c>
      <c r="D2232" s="13"/>
      <c r="E2232" s="13"/>
      <c r="F2232" s="14"/>
    </row>
    <row r="2233" spans="2:6" ht="16">
      <c r="B2233" s="9"/>
      <c r="C2233" s="13"/>
      <c r="D2233" s="13"/>
      <c r="E2233" s="13"/>
      <c r="F2233" s="14"/>
    </row>
    <row r="2234" spans="2:6" ht="16">
      <c r="B2234" s="9" t="s">
        <v>7</v>
      </c>
      <c r="C2234" s="13" t="str">
        <f>[1]LGA!A59</f>
        <v>3.1.3</v>
      </c>
      <c r="D2234" s="13"/>
      <c r="E2234" s="13"/>
      <c r="F2234" s="14"/>
    </row>
    <row r="2235" spans="2:6" ht="16">
      <c r="B2235" s="9" t="s">
        <v>8</v>
      </c>
      <c r="C2235" s="13" t="s">
        <v>100</v>
      </c>
      <c r="D2235" s="13"/>
      <c r="E2235" s="13"/>
      <c r="F2235" s="14"/>
    </row>
    <row r="2236" spans="2:6" ht="16">
      <c r="B2236" s="9" t="s">
        <v>10</v>
      </c>
      <c r="C2236" s="13" t="s">
        <v>102</v>
      </c>
      <c r="D2236" s="13"/>
      <c r="E2236" s="13"/>
      <c r="F2236" s="14"/>
    </row>
    <row r="2237" spans="2:6" ht="16">
      <c r="B2237" s="9" t="s">
        <v>12</v>
      </c>
      <c r="C2237" s="15">
        <f>C2180</f>
        <v>46024</v>
      </c>
      <c r="D2237" s="13"/>
      <c r="E2237" s="13"/>
      <c r="F2237" s="14"/>
    </row>
    <row r="2238" spans="2:6" ht="17" thickBot="1">
      <c r="B2238" s="8"/>
      <c r="C2238" s="8"/>
      <c r="D2238" s="8"/>
      <c r="E2238" s="8"/>
    </row>
    <row r="2239" spans="2:6" ht="15" thickTop="1" thickBot="1">
      <c r="B2239" s="16" t="s">
        <v>13</v>
      </c>
      <c r="C2239" s="17" t="s">
        <v>14</v>
      </c>
      <c r="D2239" s="17" t="s">
        <v>15</v>
      </c>
      <c r="E2239" s="17" t="s">
        <v>16</v>
      </c>
      <c r="F2239" s="18" t="s">
        <v>17</v>
      </c>
    </row>
    <row r="2240" spans="2:6" ht="14" thickTop="1">
      <c r="B2240" s="19"/>
      <c r="C2240" s="19"/>
      <c r="D2240" s="19"/>
      <c r="E2240" s="19"/>
      <c r="F2240" s="19"/>
    </row>
    <row r="2241" spans="2:6">
      <c r="B2241" s="20" t="s">
        <v>101</v>
      </c>
      <c r="C2241" s="21" t="s">
        <v>102</v>
      </c>
      <c r="D2241" s="21">
        <v>4.5999999999999999E-2</v>
      </c>
      <c r="E2241" s="22">
        <v>5200</v>
      </c>
      <c r="F2241" s="22">
        <f t="shared" ref="F2241:F2246" si="36">E2241*D2241</f>
        <v>239.2</v>
      </c>
    </row>
    <row r="2242" spans="2:6">
      <c r="B2242" s="20"/>
      <c r="C2242" s="21"/>
      <c r="D2242" s="21"/>
      <c r="E2242" s="22"/>
      <c r="F2242" s="22">
        <f t="shared" si="36"/>
        <v>0</v>
      </c>
    </row>
    <row r="2243" spans="2:6">
      <c r="B2243" s="20"/>
      <c r="C2243" s="21"/>
      <c r="D2243" s="21"/>
      <c r="E2243" s="22"/>
      <c r="F2243" s="22">
        <f t="shared" si="36"/>
        <v>0</v>
      </c>
    </row>
    <row r="2244" spans="2:6">
      <c r="B2244" s="20"/>
      <c r="C2244" s="21"/>
      <c r="D2244" s="21"/>
      <c r="E2244" s="22"/>
      <c r="F2244" s="22">
        <f t="shared" si="36"/>
        <v>0</v>
      </c>
    </row>
    <row r="2245" spans="2:6">
      <c r="B2245" s="20"/>
      <c r="C2245" s="21"/>
      <c r="D2245" s="21"/>
      <c r="E2245" s="22"/>
      <c r="F2245" s="22">
        <f t="shared" si="36"/>
        <v>0</v>
      </c>
    </row>
    <row r="2246" spans="2:6">
      <c r="B2246" s="20"/>
      <c r="C2246" s="21"/>
      <c r="D2246" s="21"/>
      <c r="E2246" s="22"/>
      <c r="F2246" s="22">
        <f t="shared" si="36"/>
        <v>0</v>
      </c>
    </row>
    <row r="2247" spans="2:6" ht="17" thickBot="1">
      <c r="B2247" s="6" t="s">
        <v>19</v>
      </c>
      <c r="C2247" s="8"/>
      <c r="D2247" s="8"/>
      <c r="E2247" s="8"/>
      <c r="F2247" s="23">
        <f>SUM(F2241:F2246)</f>
        <v>239.2</v>
      </c>
    </row>
    <row r="2248" spans="2:6" ht="17" thickBot="1">
      <c r="B2248" s="8"/>
      <c r="C2248" s="8"/>
      <c r="D2248" s="8"/>
      <c r="E2248" s="8"/>
    </row>
    <row r="2249" spans="2:6" ht="15" thickTop="1" thickBot="1">
      <c r="B2249" s="16" t="s">
        <v>20</v>
      </c>
      <c r="C2249" s="17" t="s">
        <v>14</v>
      </c>
      <c r="D2249" s="17" t="s">
        <v>15</v>
      </c>
      <c r="E2249" s="17" t="s">
        <v>16</v>
      </c>
      <c r="F2249" s="18" t="s">
        <v>17</v>
      </c>
    </row>
    <row r="2250" spans="2:6" ht="17" thickTop="1">
      <c r="B2250" s="8"/>
      <c r="C2250" s="8"/>
      <c r="D2250" s="8"/>
      <c r="E2250" s="8"/>
    </row>
    <row r="2251" spans="2:6">
      <c r="B2251" s="24" t="s">
        <v>21</v>
      </c>
      <c r="C2251" s="20" t="s">
        <v>22</v>
      </c>
      <c r="D2251" s="20">
        <v>4.3999999999999997E-2</v>
      </c>
      <c r="E2251" s="22">
        <v>27500</v>
      </c>
      <c r="F2251" s="25">
        <f>E2251*D2251</f>
        <v>1210</v>
      </c>
    </row>
    <row r="2252" spans="2:6">
      <c r="B2252" s="20" t="s">
        <v>23</v>
      </c>
      <c r="C2252" s="20" t="s">
        <v>22</v>
      </c>
      <c r="D2252" s="20">
        <v>4.3999999999999997E-2</v>
      </c>
      <c r="E2252" s="22">
        <v>15000</v>
      </c>
      <c r="F2252" s="25">
        <f>E2252*D2252</f>
        <v>660</v>
      </c>
    </row>
    <row r="2253" spans="2:6" ht="16">
      <c r="B2253" s="26"/>
      <c r="C2253" s="26"/>
      <c r="D2253" s="26"/>
      <c r="E2253" s="26"/>
      <c r="F2253" s="25">
        <f>E2253*D2253</f>
        <v>0</v>
      </c>
    </row>
    <row r="2254" spans="2:6" ht="16">
      <c r="B2254" s="26"/>
      <c r="C2254" s="26"/>
      <c r="D2254" s="26"/>
      <c r="E2254" s="26"/>
      <c r="F2254" s="25">
        <f>E2254*D2254</f>
        <v>0</v>
      </c>
    </row>
    <row r="2255" spans="2:6" ht="16">
      <c r="B2255" s="27" t="s">
        <v>25</v>
      </c>
      <c r="C2255" s="27" t="s">
        <v>26</v>
      </c>
      <c r="D2255" s="28">
        <v>0.32</v>
      </c>
      <c r="E2255" s="29">
        <f>SUM(E2251:E2254)*D2255</f>
        <v>13600</v>
      </c>
      <c r="F2255" s="25">
        <f>SUM(F2251:F2254)*D2255</f>
        <v>598.4</v>
      </c>
    </row>
    <row r="2256" spans="2:6" ht="16">
      <c r="B2256" s="8"/>
      <c r="C2256" s="8"/>
      <c r="D2256" s="8"/>
      <c r="E2256" s="8"/>
    </row>
    <row r="2257" spans="2:6" ht="17" thickBot="1">
      <c r="B2257" s="6" t="s">
        <v>27</v>
      </c>
      <c r="C2257" s="8"/>
      <c r="D2257" s="8"/>
      <c r="E2257" s="8"/>
      <c r="F2257" s="23">
        <f>SUM(F2251:F2256)</f>
        <v>2468.4</v>
      </c>
    </row>
    <row r="2258" spans="2:6" ht="17" thickBot="1">
      <c r="B2258" s="8"/>
      <c r="C2258" s="8"/>
      <c r="D2258" s="8"/>
      <c r="E2258" s="8"/>
    </row>
    <row r="2259" spans="2:6" ht="15" thickTop="1" thickBot="1">
      <c r="B2259" s="16" t="s">
        <v>28</v>
      </c>
      <c r="C2259" s="17" t="s">
        <v>14</v>
      </c>
      <c r="D2259" s="17" t="s">
        <v>15</v>
      </c>
      <c r="E2259" s="17" t="s">
        <v>16</v>
      </c>
      <c r="F2259" s="18" t="s">
        <v>17</v>
      </c>
    </row>
    <row r="2260" spans="2:6" ht="17" thickTop="1">
      <c r="B2260" s="8"/>
      <c r="C2260" s="8"/>
      <c r="D2260" s="8"/>
      <c r="E2260" s="8"/>
    </row>
    <row r="2261" spans="2:6">
      <c r="B2261" s="20"/>
      <c r="C2261" s="20"/>
      <c r="D2261" s="20"/>
      <c r="E2261" s="22"/>
      <c r="F2261" s="25">
        <f>E2261*D2261</f>
        <v>0</v>
      </c>
    </row>
    <row r="2262" spans="2:6">
      <c r="B2262" s="20" t="s">
        <v>31</v>
      </c>
      <c r="C2262" s="20" t="s">
        <v>32</v>
      </c>
      <c r="D2262" s="68">
        <v>0.01</v>
      </c>
      <c r="E2262" s="22">
        <v>25000</v>
      </c>
      <c r="F2262" s="25">
        <f>E2262*D2262</f>
        <v>250</v>
      </c>
    </row>
    <row r="2263" spans="2:6" ht="16">
      <c r="B2263" s="26"/>
      <c r="C2263" s="26"/>
      <c r="D2263" s="26"/>
      <c r="E2263" s="26"/>
      <c r="F2263" s="25">
        <f>E2263*D2263</f>
        <v>0</v>
      </c>
    </row>
    <row r="2264" spans="2:6" ht="16">
      <c r="B2264" s="26"/>
      <c r="C2264" s="26"/>
      <c r="D2264" s="26"/>
      <c r="E2264" s="26"/>
      <c r="F2264" s="25">
        <f>E2264*D2264</f>
        <v>0</v>
      </c>
    </row>
    <row r="2265" spans="2:6" ht="16">
      <c r="B2265" s="30"/>
      <c r="C2265" s="26"/>
      <c r="D2265" s="26"/>
      <c r="E2265" s="26"/>
      <c r="F2265" s="25">
        <f>E2265*D2265</f>
        <v>0</v>
      </c>
    </row>
    <row r="2266" spans="2:6" ht="16">
      <c r="B2266" s="8"/>
      <c r="C2266" s="8"/>
      <c r="D2266" s="8"/>
      <c r="E2266" s="8"/>
    </row>
    <row r="2267" spans="2:6" ht="14" thickBot="1">
      <c r="B2267" s="19" t="s">
        <v>33</v>
      </c>
      <c r="C2267" s="19"/>
      <c r="D2267" s="19"/>
      <c r="E2267" s="19"/>
      <c r="F2267" s="23">
        <f>SUM(F2261:F2266)</f>
        <v>250</v>
      </c>
    </row>
    <row r="2268" spans="2:6" ht="16">
      <c r="B2268" s="8"/>
      <c r="C2268" s="8"/>
      <c r="D2268" s="8"/>
      <c r="E2268" s="8"/>
    </row>
    <row r="2269" spans="2:6" ht="17" thickBot="1">
      <c r="B2269" s="8"/>
      <c r="C2269" s="8"/>
      <c r="D2269" s="8"/>
      <c r="E2269" s="8"/>
    </row>
    <row r="2270" spans="2:6" ht="17" thickBot="1">
      <c r="B2270" s="31" t="s">
        <v>34</v>
      </c>
      <c r="C2270" s="13"/>
      <c r="D2270" s="13"/>
      <c r="E2270" s="13"/>
      <c r="F2270" s="32">
        <f>F2247+F2257+F2267</f>
        <v>2957.6</v>
      </c>
    </row>
    <row r="2271" spans="2:6" ht="17" thickBot="1">
      <c r="B2271" s="31" t="s">
        <v>35</v>
      </c>
      <c r="C2271" s="13"/>
      <c r="D2271" s="13"/>
      <c r="E2271" s="33">
        <v>0.1</v>
      </c>
      <c r="F2271" s="32">
        <f>F2270*E2271</f>
        <v>295.76</v>
      </c>
    </row>
    <row r="2272" spans="2:6" ht="17" thickBot="1">
      <c r="B2272" s="31" t="s">
        <v>36</v>
      </c>
      <c r="C2272" s="13"/>
      <c r="D2272" s="13"/>
      <c r="E2272" s="33">
        <v>0.1</v>
      </c>
      <c r="F2272" s="32">
        <f>F2270*E2272</f>
        <v>295.76</v>
      </c>
    </row>
    <row r="2273" spans="2:6" ht="17" thickBot="1">
      <c r="B2273" s="34" t="s">
        <v>37</v>
      </c>
      <c r="C2273" s="35"/>
      <c r="D2273" s="35"/>
      <c r="E2273" s="35"/>
      <c r="F2273" s="32">
        <f>SUM(F2270:F2272)</f>
        <v>3549.12</v>
      </c>
    </row>
    <row r="2274" spans="2:6" ht="17" thickBot="1">
      <c r="B2274" s="36"/>
      <c r="C2274" s="8"/>
      <c r="D2274" s="8"/>
      <c r="E2274" s="8"/>
    </row>
    <row r="2275" spans="2:6" ht="18" thickTop="1" thickBot="1">
      <c r="B2275" s="37" t="s">
        <v>38</v>
      </c>
      <c r="C2275" s="8"/>
      <c r="D2275" s="8"/>
      <c r="E2275" s="8"/>
    </row>
    <row r="2276" spans="2:6" ht="18" thickTop="1" thickBot="1">
      <c r="B2276" s="8"/>
      <c r="C2276" s="8"/>
      <c r="D2276" s="8"/>
      <c r="E2276" s="8"/>
    </row>
    <row r="2277" spans="2:6" ht="17" thickTop="1">
      <c r="B2277" s="38"/>
      <c r="C2277" s="13"/>
      <c r="D2277" s="13"/>
      <c r="E2277" s="39"/>
      <c r="F2277" s="40"/>
    </row>
    <row r="2278" spans="2:6" ht="16">
      <c r="B2278" s="38"/>
      <c r="C2278" s="13"/>
      <c r="D2278" s="13"/>
      <c r="E2278" s="41"/>
      <c r="F2278" s="42"/>
    </row>
    <row r="2279" spans="2:6" ht="16">
      <c r="B2279" s="38"/>
      <c r="C2279" s="13"/>
      <c r="D2279" s="13"/>
      <c r="E2279" s="41"/>
      <c r="F2279" s="42"/>
    </row>
    <row r="2280" spans="2:6" ht="17" thickBot="1">
      <c r="B2280" s="54"/>
      <c r="C2280" s="35"/>
      <c r="D2280" s="35"/>
      <c r="E2280" s="44"/>
      <c r="F2280" s="45"/>
    </row>
    <row r="2281" spans="2:6" ht="17" thickTop="1">
      <c r="B2281" s="46"/>
      <c r="C2281" s="46"/>
      <c r="D2281" s="46"/>
      <c r="E2281" s="47"/>
      <c r="F2281" s="47"/>
    </row>
    <row r="2282" spans="2:6" ht="16">
      <c r="B2282" s="46"/>
      <c r="C2282" s="46"/>
      <c r="D2282" s="46"/>
      <c r="E2282" s="47"/>
      <c r="F2282" s="47"/>
    </row>
    <row r="2283" spans="2:6" ht="14" thickBot="1">
      <c r="B2283" s="1" t="s">
        <v>0</v>
      </c>
      <c r="C2283" s="1"/>
    </row>
    <row r="2284" spans="2:6" ht="17" thickBot="1">
      <c r="B2284" s="1" t="s">
        <v>1</v>
      </c>
      <c r="C2284" s="1"/>
      <c r="E2284" s="4" t="s">
        <v>2</v>
      </c>
      <c r="F2284" s="5"/>
    </row>
    <row r="2285" spans="2:6">
      <c r="B2285" s="6"/>
    </row>
    <row r="2286" spans="2:6" ht="16">
      <c r="B2286" s="7" t="s">
        <v>3</v>
      </c>
      <c r="C2286" s="7"/>
      <c r="D2286" s="7"/>
      <c r="E2286" s="7"/>
      <c r="F2286" s="7"/>
    </row>
    <row r="2287" spans="2:6" ht="16">
      <c r="B2287" s="8"/>
      <c r="C2287" s="8"/>
      <c r="D2287" s="8"/>
      <c r="E2287" s="8"/>
    </row>
    <row r="2288" spans="2:6" ht="16">
      <c r="B2288" s="9" t="s">
        <v>4</v>
      </c>
      <c r="C2288" s="13" t="str">
        <f>C2230</f>
        <v>MEJORAMIENTO ESPACIO PUBLICO JJVV LUCILA GODOY ALCAYAGA</v>
      </c>
      <c r="D2288" s="13"/>
      <c r="E2288" s="13"/>
      <c r="F2288" s="14"/>
    </row>
    <row r="2289" spans="2:6" ht="16">
      <c r="B2289" s="12"/>
      <c r="C2289" s="8"/>
      <c r="D2289" s="8"/>
      <c r="E2289" s="8"/>
    </row>
    <row r="2290" spans="2:6" ht="16">
      <c r="B2290" s="9" t="s">
        <v>5</v>
      </c>
      <c r="C2290" s="13" t="s">
        <v>6</v>
      </c>
      <c r="D2290" s="13"/>
      <c r="E2290" s="13"/>
      <c r="F2290" s="14"/>
    </row>
    <row r="2291" spans="2:6" ht="16">
      <c r="B2291" s="9"/>
      <c r="C2291" s="13"/>
      <c r="D2291" s="13"/>
      <c r="E2291" s="13"/>
      <c r="F2291" s="14"/>
    </row>
    <row r="2292" spans="2:6" ht="16">
      <c r="B2292" s="9" t="s">
        <v>7</v>
      </c>
      <c r="C2292" s="13" t="str">
        <f>[1]LGA!A60</f>
        <v>3.1.4</v>
      </c>
      <c r="D2292" s="13"/>
      <c r="E2292" s="13"/>
      <c r="F2292" s="14"/>
    </row>
    <row r="2293" spans="2:6" ht="16">
      <c r="B2293" s="9" t="s">
        <v>8</v>
      </c>
      <c r="C2293" s="13" t="s">
        <v>103</v>
      </c>
      <c r="D2293" s="13"/>
      <c r="E2293" s="13"/>
      <c r="F2293" s="14"/>
    </row>
    <row r="2294" spans="2:6" ht="16">
      <c r="B2294" s="9" t="s">
        <v>10</v>
      </c>
      <c r="C2294" s="13" t="s">
        <v>87</v>
      </c>
      <c r="D2294" s="13"/>
      <c r="E2294" s="13"/>
      <c r="F2294" s="14"/>
    </row>
    <row r="2295" spans="2:6" ht="16">
      <c r="B2295" s="9" t="s">
        <v>12</v>
      </c>
      <c r="C2295" s="15">
        <f>C2237</f>
        <v>46024</v>
      </c>
      <c r="D2295" s="13"/>
      <c r="E2295" s="13"/>
      <c r="F2295" s="14"/>
    </row>
    <row r="2296" spans="2:6" ht="17" thickBot="1">
      <c r="B2296" s="8"/>
      <c r="C2296" s="8"/>
      <c r="D2296" s="8"/>
      <c r="E2296" s="8"/>
    </row>
    <row r="2297" spans="2:6" ht="15" thickTop="1" thickBot="1">
      <c r="B2297" s="16" t="s">
        <v>13</v>
      </c>
      <c r="C2297" s="17" t="s">
        <v>14</v>
      </c>
      <c r="D2297" s="17" t="s">
        <v>15</v>
      </c>
      <c r="E2297" s="17" t="s">
        <v>16</v>
      </c>
      <c r="F2297" s="18" t="s">
        <v>17</v>
      </c>
    </row>
    <row r="2298" spans="2:6" ht="14" thickTop="1">
      <c r="B2298" s="19"/>
      <c r="C2298" s="19"/>
      <c r="D2298" s="19"/>
      <c r="E2298" s="19"/>
      <c r="F2298" s="19"/>
    </row>
    <row r="2299" spans="2:6">
      <c r="B2299" s="20" t="s">
        <v>104</v>
      </c>
      <c r="C2299" s="21" t="s">
        <v>81</v>
      </c>
      <c r="D2299" s="21">
        <v>1.1299999999999999</v>
      </c>
      <c r="E2299" s="22">
        <v>120000</v>
      </c>
      <c r="F2299" s="22">
        <f t="shared" ref="F2299:F2304" si="37">E2299*D2299</f>
        <v>135600</v>
      </c>
    </row>
    <row r="2300" spans="2:6">
      <c r="B2300" s="20"/>
      <c r="C2300" s="21"/>
      <c r="D2300" s="21"/>
      <c r="E2300" s="22"/>
      <c r="F2300" s="22">
        <f t="shared" si="37"/>
        <v>0</v>
      </c>
    </row>
    <row r="2301" spans="2:6">
      <c r="B2301" s="20"/>
      <c r="C2301" s="21"/>
      <c r="D2301" s="21"/>
      <c r="E2301" s="22"/>
      <c r="F2301" s="22">
        <f t="shared" si="37"/>
        <v>0</v>
      </c>
    </row>
    <row r="2302" spans="2:6">
      <c r="B2302" s="20"/>
      <c r="C2302" s="21"/>
      <c r="D2302" s="21"/>
      <c r="E2302" s="22"/>
      <c r="F2302" s="22">
        <f t="shared" si="37"/>
        <v>0</v>
      </c>
    </row>
    <row r="2303" spans="2:6">
      <c r="B2303" s="20"/>
      <c r="C2303" s="21"/>
      <c r="D2303" s="21"/>
      <c r="E2303" s="22"/>
      <c r="F2303" s="22">
        <f t="shared" si="37"/>
        <v>0</v>
      </c>
    </row>
    <row r="2304" spans="2:6">
      <c r="B2304" s="20"/>
      <c r="C2304" s="21"/>
      <c r="D2304" s="21"/>
      <c r="E2304" s="22"/>
      <c r="F2304" s="22">
        <f t="shared" si="37"/>
        <v>0</v>
      </c>
    </row>
    <row r="2305" spans="2:6" ht="17" thickBot="1">
      <c r="B2305" s="6" t="s">
        <v>19</v>
      </c>
      <c r="C2305" s="8"/>
      <c r="D2305" s="8"/>
      <c r="E2305" s="8"/>
      <c r="F2305" s="23">
        <f>SUM(F2299:F2304)</f>
        <v>135600</v>
      </c>
    </row>
    <row r="2306" spans="2:6" ht="17" thickBot="1">
      <c r="B2306" s="8"/>
      <c r="C2306" s="8"/>
      <c r="D2306" s="8"/>
      <c r="E2306" s="8"/>
    </row>
    <row r="2307" spans="2:6" ht="15" thickTop="1" thickBot="1">
      <c r="B2307" s="16" t="s">
        <v>20</v>
      </c>
      <c r="C2307" s="17" t="s">
        <v>14</v>
      </c>
      <c r="D2307" s="17" t="s">
        <v>15</v>
      </c>
      <c r="E2307" s="17" t="s">
        <v>16</v>
      </c>
      <c r="F2307" s="18" t="s">
        <v>17</v>
      </c>
    </row>
    <row r="2308" spans="2:6" ht="17" thickTop="1">
      <c r="B2308" s="8"/>
      <c r="C2308" s="8"/>
      <c r="D2308" s="8"/>
      <c r="E2308" s="8"/>
    </row>
    <row r="2309" spans="2:6">
      <c r="B2309" s="24" t="s">
        <v>21</v>
      </c>
      <c r="C2309" s="20" t="s">
        <v>22</v>
      </c>
      <c r="D2309" s="20">
        <v>0.44</v>
      </c>
      <c r="E2309" s="22">
        <v>27500</v>
      </c>
      <c r="F2309" s="25">
        <f>E2309*D2309</f>
        <v>12100</v>
      </c>
    </row>
    <row r="2310" spans="2:6">
      <c r="B2310" s="20" t="s">
        <v>23</v>
      </c>
      <c r="C2310" s="20" t="s">
        <v>22</v>
      </c>
      <c r="D2310" s="20">
        <v>0.44</v>
      </c>
      <c r="E2310" s="22">
        <v>15000</v>
      </c>
      <c r="F2310" s="25">
        <f>E2310*D2310</f>
        <v>6600</v>
      </c>
    </row>
    <row r="2311" spans="2:6" ht="16">
      <c r="B2311" s="26"/>
      <c r="C2311" s="26"/>
      <c r="D2311" s="26"/>
      <c r="E2311" s="26"/>
      <c r="F2311" s="25">
        <f>E2311*D2311</f>
        <v>0</v>
      </c>
    </row>
    <row r="2312" spans="2:6" ht="16">
      <c r="B2312" s="26"/>
      <c r="C2312" s="26"/>
      <c r="D2312" s="26"/>
      <c r="E2312" s="26"/>
      <c r="F2312" s="25">
        <f>E2312*D2312</f>
        <v>0</v>
      </c>
    </row>
    <row r="2313" spans="2:6" ht="16">
      <c r="B2313" s="27" t="s">
        <v>25</v>
      </c>
      <c r="C2313" s="27" t="s">
        <v>26</v>
      </c>
      <c r="D2313" s="28">
        <v>0.32</v>
      </c>
      <c r="E2313" s="29">
        <f>SUM(E2309:E2312)*D2313</f>
        <v>13600</v>
      </c>
      <c r="F2313" s="25">
        <f>E2313*D2313</f>
        <v>4352</v>
      </c>
    </row>
    <row r="2314" spans="2:6" ht="16">
      <c r="B2314" s="8"/>
      <c r="C2314" s="8"/>
      <c r="D2314" s="8"/>
      <c r="E2314" s="8"/>
    </row>
    <row r="2315" spans="2:6" ht="17" thickBot="1">
      <c r="B2315" s="6" t="s">
        <v>27</v>
      </c>
      <c r="C2315" s="8"/>
      <c r="D2315" s="8"/>
      <c r="E2315" s="8"/>
      <c r="F2315" s="23">
        <f>SUM(F2309:F2314)</f>
        <v>23052</v>
      </c>
    </row>
    <row r="2316" spans="2:6" ht="17" thickBot="1">
      <c r="B2316" s="8"/>
      <c r="C2316" s="8"/>
      <c r="D2316" s="8"/>
      <c r="E2316" s="8"/>
    </row>
    <row r="2317" spans="2:6" ht="15" thickTop="1" thickBot="1">
      <c r="B2317" s="16" t="s">
        <v>28</v>
      </c>
      <c r="C2317" s="17" t="s">
        <v>14</v>
      </c>
      <c r="D2317" s="17" t="s">
        <v>15</v>
      </c>
      <c r="E2317" s="17" t="s">
        <v>16</v>
      </c>
      <c r="F2317" s="18" t="s">
        <v>17</v>
      </c>
    </row>
    <row r="2318" spans="2:6" ht="17" thickTop="1">
      <c r="B2318" s="8"/>
      <c r="C2318" s="8"/>
      <c r="D2318" s="8"/>
      <c r="E2318" s="8"/>
    </row>
    <row r="2319" spans="2:6">
      <c r="B2319" s="20"/>
      <c r="C2319" s="20"/>
      <c r="D2319" s="20"/>
      <c r="E2319" s="22"/>
      <c r="F2319" s="25">
        <f>E2319*D2319</f>
        <v>0</v>
      </c>
    </row>
    <row r="2320" spans="2:6">
      <c r="B2320" s="20" t="s">
        <v>105</v>
      </c>
      <c r="C2320" s="20" t="s">
        <v>32</v>
      </c>
      <c r="D2320" s="68">
        <v>0.1</v>
      </c>
      <c r="E2320" s="22">
        <v>25000</v>
      </c>
      <c r="F2320" s="25">
        <f>E2320*D2320</f>
        <v>2500</v>
      </c>
    </row>
    <row r="2321" spans="2:6">
      <c r="B2321" s="20" t="s">
        <v>106</v>
      </c>
      <c r="C2321" s="20" t="s">
        <v>32</v>
      </c>
      <c r="D2321" s="68">
        <v>0.1</v>
      </c>
      <c r="E2321" s="22">
        <v>86000</v>
      </c>
      <c r="F2321" s="25">
        <f>E2321*D2321</f>
        <v>8600</v>
      </c>
    </row>
    <row r="2322" spans="2:6">
      <c r="B2322" s="20" t="s">
        <v>51</v>
      </c>
      <c r="C2322" s="20" t="s">
        <v>32</v>
      </c>
      <c r="D2322" s="68">
        <v>0.1</v>
      </c>
      <c r="E2322" s="22">
        <v>24000</v>
      </c>
      <c r="F2322" s="25">
        <f>E2322*D2322</f>
        <v>2400</v>
      </c>
    </row>
    <row r="2323" spans="2:6" ht="16">
      <c r="B2323" s="30"/>
      <c r="C2323" s="26"/>
      <c r="D2323" s="26"/>
      <c r="E2323" s="26"/>
      <c r="F2323" s="25">
        <f>E2323*D2323</f>
        <v>0</v>
      </c>
    </row>
    <row r="2324" spans="2:6" ht="16">
      <c r="B2324" s="8"/>
      <c r="C2324" s="8"/>
      <c r="D2324" s="8"/>
      <c r="E2324" s="8"/>
    </row>
    <row r="2325" spans="2:6" ht="14" thickBot="1">
      <c r="B2325" s="19" t="s">
        <v>33</v>
      </c>
      <c r="C2325" s="19"/>
      <c r="D2325" s="19"/>
      <c r="E2325" s="19"/>
      <c r="F2325" s="23">
        <f>SUM(F2319:F2324)</f>
        <v>13500</v>
      </c>
    </row>
    <row r="2326" spans="2:6" ht="16">
      <c r="B2326" s="8"/>
      <c r="C2326" s="8"/>
      <c r="D2326" s="8"/>
      <c r="E2326" s="8"/>
    </row>
    <row r="2327" spans="2:6" ht="17" thickBot="1">
      <c r="B2327" s="8"/>
      <c r="C2327" s="8"/>
      <c r="D2327" s="8"/>
      <c r="E2327" s="8"/>
    </row>
    <row r="2328" spans="2:6" ht="17" thickBot="1">
      <c r="B2328" s="31" t="s">
        <v>34</v>
      </c>
      <c r="C2328" s="13"/>
      <c r="D2328" s="13"/>
      <c r="E2328" s="13"/>
      <c r="F2328" s="32">
        <f>F2305+F2315+F2325</f>
        <v>172152</v>
      </c>
    </row>
    <row r="2329" spans="2:6" ht="17" thickBot="1">
      <c r="B2329" s="31" t="s">
        <v>35</v>
      </c>
      <c r="C2329" s="13"/>
      <c r="D2329" s="13"/>
      <c r="E2329" s="33">
        <v>0.1</v>
      </c>
      <c r="F2329" s="32">
        <f>F2328*E2329</f>
        <v>17215.2</v>
      </c>
    </row>
    <row r="2330" spans="2:6" ht="17" thickBot="1">
      <c r="B2330" s="31" t="s">
        <v>36</v>
      </c>
      <c r="C2330" s="13"/>
      <c r="D2330" s="13"/>
      <c r="E2330" s="33">
        <v>0.1</v>
      </c>
      <c r="F2330" s="32">
        <f>F2328*E2330</f>
        <v>17215.2</v>
      </c>
    </row>
    <row r="2331" spans="2:6" ht="17" thickBot="1">
      <c r="B2331" s="34" t="s">
        <v>37</v>
      </c>
      <c r="C2331" s="35"/>
      <c r="D2331" s="35"/>
      <c r="E2331" s="35"/>
      <c r="F2331" s="32">
        <f>SUM(F2328:F2330)</f>
        <v>206582.40000000002</v>
      </c>
    </row>
    <row r="2332" spans="2:6" ht="17" thickBot="1">
      <c r="B2332" s="36"/>
      <c r="C2332" s="8"/>
      <c r="D2332" s="8"/>
      <c r="E2332" s="8"/>
    </row>
    <row r="2333" spans="2:6" ht="18" thickTop="1" thickBot="1">
      <c r="B2333" s="37" t="s">
        <v>38</v>
      </c>
      <c r="C2333" s="8"/>
      <c r="D2333" s="8"/>
      <c r="E2333" s="8"/>
    </row>
    <row r="2334" spans="2:6" ht="18" thickTop="1" thickBot="1">
      <c r="B2334" s="8"/>
      <c r="C2334" s="8"/>
      <c r="D2334" s="8"/>
      <c r="E2334" s="8"/>
    </row>
    <row r="2335" spans="2:6" ht="17" thickTop="1">
      <c r="B2335" s="38"/>
      <c r="C2335" s="13"/>
      <c r="D2335" s="13"/>
      <c r="E2335" s="39"/>
      <c r="F2335" s="40"/>
    </row>
    <row r="2336" spans="2:6" ht="16">
      <c r="B2336" s="38"/>
      <c r="C2336" s="13"/>
      <c r="D2336" s="13"/>
      <c r="E2336" s="41"/>
      <c r="F2336" s="42"/>
    </row>
    <row r="2337" spans="2:6" ht="16">
      <c r="B2337" s="38"/>
      <c r="C2337" s="13"/>
      <c r="D2337" s="13"/>
      <c r="E2337" s="41"/>
      <c r="F2337" s="42"/>
    </row>
    <row r="2338" spans="2:6" ht="17" thickBot="1">
      <c r="B2338" s="54"/>
      <c r="C2338" s="35"/>
      <c r="D2338" s="35"/>
      <c r="E2338" s="44"/>
      <c r="F2338" s="45"/>
    </row>
    <row r="2339" spans="2:6" ht="17" thickTop="1">
      <c r="B2339" s="46"/>
      <c r="C2339" s="46"/>
      <c r="D2339" s="46"/>
      <c r="E2339" s="47"/>
      <c r="F2339" s="47"/>
    </row>
    <row r="2340" spans="2:6" ht="14" thickBot="1">
      <c r="B2340" s="1" t="s">
        <v>0</v>
      </c>
      <c r="C2340" s="1"/>
    </row>
    <row r="2341" spans="2:6" ht="17" thickBot="1">
      <c r="B2341" s="1" t="s">
        <v>1</v>
      </c>
      <c r="C2341" s="1"/>
      <c r="E2341" s="4" t="s">
        <v>2</v>
      </c>
      <c r="F2341" s="5"/>
    </row>
    <row r="2342" spans="2:6">
      <c r="B2342" s="6"/>
    </row>
    <row r="2343" spans="2:6" ht="16">
      <c r="B2343" s="7" t="s">
        <v>3</v>
      </c>
      <c r="C2343" s="7"/>
      <c r="D2343" s="7"/>
      <c r="E2343" s="7"/>
      <c r="F2343" s="7"/>
    </row>
    <row r="2344" spans="2:6" ht="16">
      <c r="B2344" s="8"/>
      <c r="C2344" s="8"/>
      <c r="D2344" s="8"/>
      <c r="E2344" s="8"/>
    </row>
    <row r="2345" spans="2:6" ht="16">
      <c r="B2345" s="9" t="s">
        <v>4</v>
      </c>
      <c r="C2345" s="13" t="str">
        <f>C2288</f>
        <v>MEJORAMIENTO ESPACIO PUBLICO JJVV LUCILA GODOY ALCAYAGA</v>
      </c>
      <c r="D2345" s="13"/>
      <c r="E2345" s="13"/>
      <c r="F2345" s="14"/>
    </row>
    <row r="2346" spans="2:6" ht="16">
      <c r="B2346" s="12"/>
      <c r="C2346" s="8"/>
      <c r="D2346" s="8"/>
      <c r="E2346" s="8"/>
    </row>
    <row r="2347" spans="2:6" ht="16">
      <c r="B2347" s="9" t="s">
        <v>5</v>
      </c>
      <c r="C2347" s="13" t="s">
        <v>6</v>
      </c>
      <c r="D2347" s="13"/>
      <c r="E2347" s="13"/>
      <c r="F2347" s="14"/>
    </row>
    <row r="2348" spans="2:6" ht="16">
      <c r="B2348" s="9"/>
      <c r="C2348" s="13"/>
      <c r="D2348" s="13"/>
      <c r="E2348" s="13"/>
      <c r="F2348" s="14"/>
    </row>
    <row r="2349" spans="2:6" ht="16">
      <c r="B2349" s="9" t="s">
        <v>7</v>
      </c>
      <c r="C2349" s="13" t="str">
        <f>[1]LGA!A61</f>
        <v>3.1.5</v>
      </c>
      <c r="D2349" s="13"/>
      <c r="E2349" s="13"/>
      <c r="F2349" s="14"/>
    </row>
    <row r="2350" spans="2:6" ht="16">
      <c r="B2350" s="9" t="s">
        <v>8</v>
      </c>
      <c r="C2350" s="13" t="s">
        <v>169</v>
      </c>
      <c r="D2350" s="13"/>
      <c r="E2350" s="13"/>
      <c r="F2350" s="14"/>
    </row>
    <row r="2351" spans="2:6" ht="16">
      <c r="B2351" s="9" t="s">
        <v>10</v>
      </c>
      <c r="C2351" s="13" t="s">
        <v>170</v>
      </c>
      <c r="D2351" s="13"/>
      <c r="E2351" s="13"/>
      <c r="F2351" s="14"/>
    </row>
    <row r="2352" spans="2:6" ht="16">
      <c r="B2352" s="9" t="s">
        <v>12</v>
      </c>
      <c r="C2352" s="15">
        <f>C2295</f>
        <v>46024</v>
      </c>
      <c r="D2352" s="13"/>
      <c r="E2352" s="13"/>
      <c r="F2352" s="14"/>
    </row>
    <row r="2353" spans="2:6" ht="17" thickBot="1">
      <c r="B2353" s="8"/>
      <c r="C2353" s="8"/>
      <c r="D2353" s="8"/>
      <c r="E2353" s="8"/>
    </row>
    <row r="2354" spans="2:6" ht="15" thickTop="1" thickBot="1">
      <c r="B2354" s="16" t="s">
        <v>13</v>
      </c>
      <c r="C2354" s="17" t="s">
        <v>14</v>
      </c>
      <c r="D2354" s="17" t="s">
        <v>15</v>
      </c>
      <c r="E2354" s="17" t="s">
        <v>16</v>
      </c>
      <c r="F2354" s="18" t="s">
        <v>17</v>
      </c>
    </row>
    <row r="2355" spans="2:6" ht="14" thickTop="1">
      <c r="B2355" s="19"/>
      <c r="C2355" s="19"/>
      <c r="D2355" s="19"/>
      <c r="E2355" s="19"/>
      <c r="F2355" s="19"/>
    </row>
    <row r="2356" spans="2:6">
      <c r="B2356" s="20" t="s">
        <v>171</v>
      </c>
      <c r="C2356" s="21" t="s">
        <v>49</v>
      </c>
      <c r="D2356" s="21">
        <v>7.0000000000000007E-2</v>
      </c>
      <c r="E2356" s="22">
        <v>26000</v>
      </c>
      <c r="F2356" s="22">
        <f t="shared" ref="F2356:F2361" si="38">E2356*D2356</f>
        <v>1820.0000000000002</v>
      </c>
    </row>
    <row r="2357" spans="2:6">
      <c r="B2357" s="20" t="s">
        <v>172</v>
      </c>
      <c r="C2357" s="21" t="s">
        <v>43</v>
      </c>
      <c r="D2357" s="21">
        <v>0.01</v>
      </c>
      <c r="E2357" s="22">
        <v>1200</v>
      </c>
      <c r="F2357" s="22">
        <f t="shared" si="38"/>
        <v>12</v>
      </c>
    </row>
    <row r="2358" spans="2:6">
      <c r="B2358" s="20" t="s">
        <v>110</v>
      </c>
      <c r="C2358" s="21" t="s">
        <v>49</v>
      </c>
      <c r="D2358" s="21">
        <v>0.01</v>
      </c>
      <c r="E2358" s="22">
        <v>35000</v>
      </c>
      <c r="F2358" s="22">
        <f t="shared" si="38"/>
        <v>350</v>
      </c>
    </row>
    <row r="2359" spans="2:6">
      <c r="B2359" s="20"/>
      <c r="C2359" s="21"/>
      <c r="D2359" s="21"/>
      <c r="E2359" s="22"/>
      <c r="F2359" s="22">
        <f t="shared" si="38"/>
        <v>0</v>
      </c>
    </row>
    <row r="2360" spans="2:6">
      <c r="B2360" s="20"/>
      <c r="C2360" s="21"/>
      <c r="D2360" s="21"/>
      <c r="E2360" s="22"/>
      <c r="F2360" s="22">
        <f t="shared" si="38"/>
        <v>0</v>
      </c>
    </row>
    <row r="2361" spans="2:6">
      <c r="B2361" s="20"/>
      <c r="C2361" s="21"/>
      <c r="D2361" s="21"/>
      <c r="E2361" s="22"/>
      <c r="F2361" s="22">
        <f t="shared" si="38"/>
        <v>0</v>
      </c>
    </row>
    <row r="2362" spans="2:6" ht="17" thickBot="1">
      <c r="B2362" s="6" t="s">
        <v>19</v>
      </c>
      <c r="C2362" s="8"/>
      <c r="D2362" s="8"/>
      <c r="E2362" s="8"/>
      <c r="F2362" s="23">
        <f>SUM(F2356:F2361)</f>
        <v>2182</v>
      </c>
    </row>
    <row r="2363" spans="2:6" ht="17" thickBot="1">
      <c r="B2363" s="8"/>
      <c r="C2363" s="8"/>
      <c r="D2363" s="8"/>
      <c r="E2363" s="8"/>
    </row>
    <row r="2364" spans="2:6" ht="15" thickTop="1" thickBot="1">
      <c r="B2364" s="16" t="s">
        <v>20</v>
      </c>
      <c r="C2364" s="17" t="s">
        <v>14</v>
      </c>
      <c r="D2364" s="17" t="s">
        <v>15</v>
      </c>
      <c r="E2364" s="17" t="s">
        <v>16</v>
      </c>
      <c r="F2364" s="18" t="s">
        <v>17</v>
      </c>
    </row>
    <row r="2365" spans="2:6" ht="17" thickTop="1">
      <c r="B2365" s="8"/>
      <c r="C2365" s="8"/>
      <c r="D2365" s="8"/>
      <c r="E2365" s="8"/>
    </row>
    <row r="2366" spans="2:6">
      <c r="B2366" s="24" t="s">
        <v>173</v>
      </c>
      <c r="C2366" s="20" t="s">
        <v>22</v>
      </c>
      <c r="D2366" s="20">
        <v>1.2E-2</v>
      </c>
      <c r="E2366" s="22">
        <v>27500</v>
      </c>
      <c r="F2366" s="25">
        <f>E2366*D2366</f>
        <v>330</v>
      </c>
    </row>
    <row r="2367" spans="2:6">
      <c r="B2367" s="20" t="s">
        <v>23</v>
      </c>
      <c r="C2367" s="20" t="s">
        <v>22</v>
      </c>
      <c r="D2367" s="20">
        <v>1.2E-2</v>
      </c>
      <c r="E2367" s="22">
        <v>15000</v>
      </c>
      <c r="F2367" s="25">
        <f>E2367*D2367</f>
        <v>180</v>
      </c>
    </row>
    <row r="2368" spans="2:6">
      <c r="B2368" s="20"/>
      <c r="C2368" s="20"/>
      <c r="D2368" s="20"/>
      <c r="E2368" s="22"/>
      <c r="F2368" s="25">
        <f>E2368*D2368</f>
        <v>0</v>
      </c>
    </row>
    <row r="2369" spans="2:6" ht="16">
      <c r="B2369" s="26"/>
      <c r="C2369" s="26"/>
      <c r="D2369" s="26"/>
      <c r="E2369" s="26"/>
      <c r="F2369" s="25">
        <f>E2369*D2369</f>
        <v>0</v>
      </c>
    </row>
    <row r="2370" spans="2:6" ht="16">
      <c r="B2370" s="27" t="s">
        <v>25</v>
      </c>
      <c r="C2370" s="27" t="s">
        <v>26</v>
      </c>
      <c r="D2370" s="28">
        <v>0.32</v>
      </c>
      <c r="E2370" s="29">
        <f>SUM(E2366:E2369)*D2370</f>
        <v>13600</v>
      </c>
      <c r="F2370" s="25">
        <f>SUM(F2366:F2369)*D2370</f>
        <v>163.20000000000002</v>
      </c>
    </row>
    <row r="2371" spans="2:6" ht="16">
      <c r="B2371" s="8"/>
      <c r="C2371" s="8"/>
      <c r="D2371" s="8"/>
      <c r="E2371" s="8"/>
    </row>
    <row r="2372" spans="2:6" ht="17" thickBot="1">
      <c r="B2372" s="6" t="s">
        <v>27</v>
      </c>
      <c r="C2372" s="8"/>
      <c r="D2372" s="8"/>
      <c r="E2372" s="8"/>
      <c r="F2372" s="23">
        <f>SUM(F2366:F2371)</f>
        <v>673.2</v>
      </c>
    </row>
    <row r="2373" spans="2:6" ht="17" thickBot="1">
      <c r="B2373" s="8"/>
      <c r="C2373" s="8"/>
      <c r="D2373" s="8"/>
      <c r="E2373" s="8"/>
    </row>
    <row r="2374" spans="2:6" ht="15" thickTop="1" thickBot="1">
      <c r="B2374" s="16" t="s">
        <v>28</v>
      </c>
      <c r="C2374" s="17" t="s">
        <v>14</v>
      </c>
      <c r="D2374" s="17" t="s">
        <v>15</v>
      </c>
      <c r="E2374" s="17" t="s">
        <v>16</v>
      </c>
      <c r="F2374" s="18" t="s">
        <v>17</v>
      </c>
    </row>
    <row r="2375" spans="2:6" ht="17" thickTop="1">
      <c r="B2375" s="8"/>
      <c r="C2375" s="8"/>
      <c r="D2375" s="8"/>
      <c r="E2375" s="8"/>
    </row>
    <row r="2376" spans="2:6">
      <c r="B2376" s="20" t="s">
        <v>174</v>
      </c>
      <c r="C2376" s="20" t="s">
        <v>32</v>
      </c>
      <c r="D2376" s="68">
        <v>0.02</v>
      </c>
      <c r="E2376" s="22">
        <v>15000</v>
      </c>
      <c r="F2376" s="25">
        <f>E2376*D2376</f>
        <v>300</v>
      </c>
    </row>
    <row r="2377" spans="2:6">
      <c r="B2377" s="20" t="s">
        <v>31</v>
      </c>
      <c r="C2377" s="20" t="s">
        <v>32</v>
      </c>
      <c r="D2377" s="68">
        <v>1.9E-2</v>
      </c>
      <c r="E2377" s="22">
        <v>25000</v>
      </c>
      <c r="F2377" s="25">
        <f>E2377*D2377</f>
        <v>475</v>
      </c>
    </row>
    <row r="2378" spans="2:6" ht="16">
      <c r="B2378" s="26"/>
      <c r="C2378" s="26"/>
      <c r="D2378" s="26"/>
      <c r="E2378" s="26"/>
      <c r="F2378" s="25">
        <f>E2378*D2378</f>
        <v>0</v>
      </c>
    </row>
    <row r="2379" spans="2:6" ht="16">
      <c r="B2379" s="26"/>
      <c r="C2379" s="26"/>
      <c r="D2379" s="26"/>
      <c r="E2379" s="26"/>
      <c r="F2379" s="25">
        <f>E2379*D2379</f>
        <v>0</v>
      </c>
    </row>
    <row r="2380" spans="2:6" ht="16">
      <c r="B2380" s="30"/>
      <c r="C2380" s="26"/>
      <c r="D2380" s="26"/>
      <c r="E2380" s="26"/>
      <c r="F2380" s="25">
        <f>E2380*D2380</f>
        <v>0</v>
      </c>
    </row>
    <row r="2381" spans="2:6" ht="16">
      <c r="B2381" s="8"/>
      <c r="C2381" s="8"/>
      <c r="D2381" s="8"/>
      <c r="E2381" s="8"/>
    </row>
    <row r="2382" spans="2:6" ht="14" thickBot="1">
      <c r="B2382" s="19" t="s">
        <v>33</v>
      </c>
      <c r="C2382" s="19"/>
      <c r="D2382" s="19"/>
      <c r="E2382" s="19"/>
      <c r="F2382" s="23">
        <f>SUM(F2376:F2381)</f>
        <v>775</v>
      </c>
    </row>
    <row r="2383" spans="2:6" ht="16">
      <c r="B2383" s="8"/>
      <c r="C2383" s="8"/>
      <c r="D2383" s="8"/>
      <c r="E2383" s="8"/>
    </row>
    <row r="2384" spans="2:6" ht="17" thickBot="1">
      <c r="B2384" s="8"/>
      <c r="C2384" s="8"/>
      <c r="D2384" s="8"/>
      <c r="E2384" s="8"/>
    </row>
    <row r="2385" spans="2:6" ht="17" thickBot="1">
      <c r="B2385" s="31" t="s">
        <v>34</v>
      </c>
      <c r="C2385" s="13"/>
      <c r="D2385" s="13"/>
      <c r="E2385" s="13"/>
      <c r="F2385" s="32">
        <f>F2362+F2372+F2382</f>
        <v>3630.2</v>
      </c>
    </row>
    <row r="2386" spans="2:6" ht="17" thickBot="1">
      <c r="B2386" s="31" t="s">
        <v>35</v>
      </c>
      <c r="C2386" s="13"/>
      <c r="D2386" s="13"/>
      <c r="E2386" s="33">
        <v>0.1</v>
      </c>
      <c r="F2386" s="32">
        <f>F2385*E2386</f>
        <v>363.02</v>
      </c>
    </row>
    <row r="2387" spans="2:6" ht="17" thickBot="1">
      <c r="B2387" s="31" t="s">
        <v>36</v>
      </c>
      <c r="C2387" s="13"/>
      <c r="D2387" s="13"/>
      <c r="E2387" s="33">
        <v>0.1</v>
      </c>
      <c r="F2387" s="32">
        <f>F2385*E2387</f>
        <v>363.02</v>
      </c>
    </row>
    <row r="2388" spans="2:6" ht="17" thickBot="1">
      <c r="B2388" s="34" t="s">
        <v>37</v>
      </c>
      <c r="C2388" s="35"/>
      <c r="D2388" s="35"/>
      <c r="E2388" s="35"/>
      <c r="F2388" s="32">
        <f>SUM(F2385:F2387)</f>
        <v>4356.24</v>
      </c>
    </row>
    <row r="2389" spans="2:6" ht="17" thickBot="1">
      <c r="B2389" s="36"/>
      <c r="C2389" s="8"/>
      <c r="D2389" s="8"/>
      <c r="E2389" s="8"/>
    </row>
    <row r="2390" spans="2:6" ht="18" thickTop="1" thickBot="1">
      <c r="B2390" s="37" t="s">
        <v>38</v>
      </c>
      <c r="C2390" s="8"/>
      <c r="D2390" s="8"/>
      <c r="E2390" s="8"/>
    </row>
    <row r="2391" spans="2:6" ht="18" thickTop="1" thickBot="1">
      <c r="B2391" s="8"/>
      <c r="C2391" s="8"/>
      <c r="D2391" s="8"/>
      <c r="E2391" s="8"/>
    </row>
    <row r="2392" spans="2:6" ht="17" thickTop="1">
      <c r="B2392" s="38"/>
      <c r="C2392" s="13"/>
      <c r="D2392" s="13"/>
      <c r="E2392" s="39"/>
      <c r="F2392" s="40"/>
    </row>
    <row r="2393" spans="2:6" ht="16">
      <c r="B2393" s="38"/>
      <c r="C2393" s="13"/>
      <c r="D2393" s="13"/>
      <c r="E2393" s="41"/>
      <c r="F2393" s="42"/>
    </row>
    <row r="2394" spans="2:6" ht="16">
      <c r="B2394" s="38"/>
      <c r="C2394" s="13"/>
      <c r="D2394" s="13"/>
      <c r="E2394" s="41"/>
      <c r="F2394" s="42"/>
    </row>
    <row r="2395" spans="2:6" ht="17" thickBot="1">
      <c r="B2395" s="54"/>
      <c r="C2395" s="35"/>
      <c r="D2395" s="35"/>
      <c r="E2395" s="44"/>
      <c r="F2395" s="45"/>
    </row>
    <row r="2396" spans="2:6" ht="17" thickTop="1">
      <c r="B2396" s="46"/>
      <c r="C2396" s="46"/>
      <c r="D2396" s="46"/>
      <c r="E2396" s="47"/>
      <c r="F2396" s="47"/>
    </row>
    <row r="2397" spans="2:6" ht="14" thickBot="1">
      <c r="B2397" s="1" t="s">
        <v>0</v>
      </c>
      <c r="C2397" s="1"/>
    </row>
    <row r="2398" spans="2:6" ht="17" thickBot="1">
      <c r="B2398" s="1" t="s">
        <v>1</v>
      </c>
      <c r="C2398" s="1"/>
      <c r="E2398" s="4" t="s">
        <v>2</v>
      </c>
      <c r="F2398" s="5"/>
    </row>
    <row r="2399" spans="2:6">
      <c r="B2399" s="6"/>
    </row>
    <row r="2400" spans="2:6" ht="18" customHeight="1">
      <c r="B2400" s="7" t="s">
        <v>3</v>
      </c>
      <c r="C2400" s="7"/>
      <c r="D2400" s="7"/>
      <c r="E2400" s="7"/>
      <c r="F2400" s="7"/>
    </row>
    <row r="2401" spans="2:6" ht="16">
      <c r="B2401" s="8"/>
      <c r="C2401" s="8"/>
      <c r="D2401" s="8"/>
      <c r="E2401" s="8"/>
    </row>
    <row r="2402" spans="2:6" ht="22" customHeight="1">
      <c r="B2402" s="9" t="s">
        <v>4</v>
      </c>
      <c r="C2402" s="69" t="str">
        <f>C2230</f>
        <v>MEJORAMIENTO ESPACIO PUBLICO JJVV LUCILA GODOY ALCAYAGA</v>
      </c>
      <c r="D2402" s="69"/>
      <c r="E2402" s="69"/>
      <c r="F2402" s="70"/>
    </row>
    <row r="2403" spans="2:6" ht="16">
      <c r="B2403" s="12"/>
      <c r="C2403" s="8"/>
      <c r="D2403" s="8"/>
      <c r="E2403" s="8"/>
    </row>
    <row r="2404" spans="2:6" ht="16">
      <c r="B2404" s="9" t="s">
        <v>5</v>
      </c>
      <c r="C2404" s="13" t="s">
        <v>6</v>
      </c>
      <c r="D2404" s="13"/>
      <c r="E2404" s="13"/>
      <c r="F2404" s="14"/>
    </row>
    <row r="2405" spans="2:6" ht="16">
      <c r="B2405" s="9"/>
      <c r="C2405" s="13"/>
      <c r="D2405" s="13"/>
      <c r="E2405" s="13"/>
      <c r="F2405" s="14"/>
    </row>
    <row r="2406" spans="2:6" ht="16">
      <c r="B2406" s="9" t="s">
        <v>7</v>
      </c>
      <c r="C2406" s="13" t="str">
        <f>[1]LGA!A62</f>
        <v>3.1.6</v>
      </c>
      <c r="D2406" s="13"/>
      <c r="E2406" s="13"/>
      <c r="F2406" s="14"/>
    </row>
    <row r="2407" spans="2:6" ht="16">
      <c r="B2407" s="9" t="s">
        <v>8</v>
      </c>
      <c r="C2407" s="13" t="s">
        <v>111</v>
      </c>
      <c r="D2407" s="13"/>
      <c r="E2407" s="13"/>
      <c r="F2407" s="14"/>
    </row>
    <row r="2408" spans="2:6" ht="16">
      <c r="B2408" s="9" t="s">
        <v>10</v>
      </c>
      <c r="C2408" s="13" t="s">
        <v>87</v>
      </c>
      <c r="D2408" s="13"/>
      <c r="E2408" s="13"/>
      <c r="F2408" s="14"/>
    </row>
    <row r="2409" spans="2:6" ht="16">
      <c r="B2409" s="9" t="s">
        <v>12</v>
      </c>
      <c r="C2409" s="15">
        <f>C2237</f>
        <v>46024</v>
      </c>
      <c r="D2409" s="13"/>
      <c r="E2409" s="13"/>
      <c r="F2409" s="14"/>
    </row>
    <row r="2410" spans="2:6" ht="17" thickBot="1">
      <c r="B2410" s="8"/>
      <c r="C2410" s="8"/>
      <c r="D2410" s="8"/>
      <c r="E2410" s="8"/>
    </row>
    <row r="2411" spans="2:6" ht="15" thickTop="1" thickBot="1">
      <c r="B2411" s="16" t="s">
        <v>13</v>
      </c>
      <c r="C2411" s="17" t="s">
        <v>14</v>
      </c>
      <c r="D2411" s="17" t="s">
        <v>15</v>
      </c>
      <c r="E2411" s="17" t="s">
        <v>16</v>
      </c>
      <c r="F2411" s="18" t="s">
        <v>17</v>
      </c>
    </row>
    <row r="2412" spans="2:6" ht="14" thickTop="1">
      <c r="B2412" s="19"/>
      <c r="C2412" s="19"/>
      <c r="D2412" s="19"/>
      <c r="E2412" s="19"/>
      <c r="F2412" s="19"/>
    </row>
    <row r="2413" spans="2:6">
      <c r="B2413" s="20" t="s">
        <v>112</v>
      </c>
      <c r="C2413" s="21" t="s">
        <v>81</v>
      </c>
      <c r="D2413" s="21">
        <v>1</v>
      </c>
      <c r="E2413" s="22">
        <v>190000</v>
      </c>
      <c r="F2413" s="22">
        <f t="shared" ref="F2413:F2418" si="39">E2413*D2413</f>
        <v>190000</v>
      </c>
    </row>
    <row r="2414" spans="2:6">
      <c r="B2414" s="20" t="s">
        <v>113</v>
      </c>
      <c r="C2414" s="21" t="s">
        <v>43</v>
      </c>
      <c r="D2414" s="21">
        <v>1</v>
      </c>
      <c r="E2414" s="22">
        <v>4500</v>
      </c>
      <c r="F2414" s="22">
        <f t="shared" si="39"/>
        <v>4500</v>
      </c>
    </row>
    <row r="2415" spans="2:6">
      <c r="B2415" s="20"/>
      <c r="C2415" s="21"/>
      <c r="D2415" s="21"/>
      <c r="E2415" s="22"/>
      <c r="F2415" s="22">
        <f t="shared" si="39"/>
        <v>0</v>
      </c>
    </row>
    <row r="2416" spans="2:6">
      <c r="B2416" s="20"/>
      <c r="C2416" s="21"/>
      <c r="D2416" s="21"/>
      <c r="E2416" s="22"/>
      <c r="F2416" s="22">
        <f t="shared" si="39"/>
        <v>0</v>
      </c>
    </row>
    <row r="2417" spans="2:6">
      <c r="B2417" s="20"/>
      <c r="C2417" s="21"/>
      <c r="D2417" s="21"/>
      <c r="E2417" s="22"/>
      <c r="F2417" s="22">
        <f t="shared" si="39"/>
        <v>0</v>
      </c>
    </row>
    <row r="2418" spans="2:6">
      <c r="B2418" s="20"/>
      <c r="C2418" s="21"/>
      <c r="D2418" s="21"/>
      <c r="E2418" s="22"/>
      <c r="F2418" s="22">
        <f t="shared" si="39"/>
        <v>0</v>
      </c>
    </row>
    <row r="2419" spans="2:6" ht="17" thickBot="1">
      <c r="B2419" s="6" t="s">
        <v>19</v>
      </c>
      <c r="C2419" s="8"/>
      <c r="D2419" s="8"/>
      <c r="E2419" s="8"/>
      <c r="F2419" s="23">
        <f>SUM(F2413:F2418)</f>
        <v>194500</v>
      </c>
    </row>
    <row r="2420" spans="2:6" ht="17" thickBot="1">
      <c r="B2420" s="8"/>
      <c r="C2420" s="8"/>
      <c r="D2420" s="8"/>
      <c r="E2420" s="8"/>
    </row>
    <row r="2421" spans="2:6" ht="15" thickTop="1" thickBot="1">
      <c r="B2421" s="16" t="s">
        <v>20</v>
      </c>
      <c r="C2421" s="17" t="s">
        <v>14</v>
      </c>
      <c r="D2421" s="17" t="s">
        <v>15</v>
      </c>
      <c r="E2421" s="17" t="s">
        <v>16</v>
      </c>
      <c r="F2421" s="18" t="s">
        <v>17</v>
      </c>
    </row>
    <row r="2422" spans="2:6" ht="17" thickTop="1">
      <c r="B2422" s="8"/>
      <c r="C2422" s="8"/>
      <c r="D2422" s="8"/>
      <c r="E2422" s="8"/>
    </row>
    <row r="2423" spans="2:6">
      <c r="B2423" s="24" t="s">
        <v>21</v>
      </c>
      <c r="C2423" s="20" t="s">
        <v>22</v>
      </c>
      <c r="D2423" s="20">
        <v>0.1</v>
      </c>
      <c r="E2423" s="22">
        <v>27500</v>
      </c>
      <c r="F2423" s="25">
        <f>E2423*D2423</f>
        <v>2750</v>
      </c>
    </row>
    <row r="2424" spans="2:6">
      <c r="B2424" s="20" t="s">
        <v>23</v>
      </c>
      <c r="C2424" s="20" t="s">
        <v>22</v>
      </c>
      <c r="D2424" s="20">
        <v>0.1</v>
      </c>
      <c r="E2424" s="22">
        <v>15000</v>
      </c>
      <c r="F2424" s="25">
        <f>E2424*D2424</f>
        <v>1500</v>
      </c>
    </row>
    <row r="2425" spans="2:6" ht="16">
      <c r="B2425" s="26"/>
      <c r="C2425" s="26"/>
      <c r="D2425" s="26"/>
      <c r="E2425" s="26"/>
      <c r="F2425" s="25">
        <f>E2425*D2425</f>
        <v>0</v>
      </c>
    </row>
    <row r="2426" spans="2:6" ht="16">
      <c r="B2426" s="26"/>
      <c r="C2426" s="26"/>
      <c r="D2426" s="26"/>
      <c r="E2426" s="26"/>
      <c r="F2426" s="25">
        <f>E2426*D2426</f>
        <v>0</v>
      </c>
    </row>
    <row r="2427" spans="2:6" ht="16">
      <c r="B2427" s="27" t="s">
        <v>25</v>
      </c>
      <c r="C2427" s="27" t="s">
        <v>26</v>
      </c>
      <c r="D2427" s="28">
        <v>0.32</v>
      </c>
      <c r="E2427" s="29">
        <f>SUM(E2423:E2426)*D2427</f>
        <v>13600</v>
      </c>
      <c r="F2427" s="25">
        <f>E2427*D2427</f>
        <v>4352</v>
      </c>
    </row>
    <row r="2428" spans="2:6" ht="16">
      <c r="B2428" s="8"/>
      <c r="C2428" s="8"/>
      <c r="D2428" s="8"/>
      <c r="E2428" s="8"/>
    </row>
    <row r="2429" spans="2:6" ht="17" thickBot="1">
      <c r="B2429" s="6" t="s">
        <v>27</v>
      </c>
      <c r="C2429" s="8"/>
      <c r="D2429" s="8"/>
      <c r="E2429" s="8"/>
      <c r="F2429" s="23">
        <f>SUM(F2423:F2428)</f>
        <v>8602</v>
      </c>
    </row>
    <row r="2430" spans="2:6" ht="17" thickBot="1">
      <c r="B2430" s="8"/>
      <c r="C2430" s="8"/>
      <c r="D2430" s="8"/>
      <c r="E2430" s="8"/>
    </row>
    <row r="2431" spans="2:6" ht="15" thickTop="1" thickBot="1">
      <c r="B2431" s="16" t="s">
        <v>28</v>
      </c>
      <c r="C2431" s="17" t="s">
        <v>14</v>
      </c>
      <c r="D2431" s="17" t="s">
        <v>15</v>
      </c>
      <c r="E2431" s="17" t="s">
        <v>16</v>
      </c>
      <c r="F2431" s="18" t="s">
        <v>17</v>
      </c>
    </row>
    <row r="2432" spans="2:6" ht="17" thickTop="1">
      <c r="B2432" s="8"/>
      <c r="C2432" s="8"/>
      <c r="D2432" s="8"/>
      <c r="E2432" s="8"/>
    </row>
    <row r="2433" spans="2:6">
      <c r="B2433" s="20" t="s">
        <v>114</v>
      </c>
      <c r="C2433" s="20" t="s">
        <v>32</v>
      </c>
      <c r="D2433" s="68">
        <v>0.2</v>
      </c>
      <c r="E2433" s="22">
        <v>25000</v>
      </c>
      <c r="F2433" s="25">
        <f>E2433*D2433</f>
        <v>5000</v>
      </c>
    </row>
    <row r="2434" spans="2:6">
      <c r="B2434" s="20" t="s">
        <v>115</v>
      </c>
      <c r="C2434" s="20" t="s">
        <v>32</v>
      </c>
      <c r="D2434" s="68">
        <v>0.1</v>
      </c>
      <c r="E2434" s="22">
        <v>35000</v>
      </c>
      <c r="F2434" s="25">
        <f>E2434*D2434</f>
        <v>3500</v>
      </c>
    </row>
    <row r="2435" spans="2:6" ht="16">
      <c r="B2435" s="26"/>
      <c r="C2435" s="26"/>
      <c r="D2435" s="26"/>
      <c r="E2435" s="26"/>
      <c r="F2435" s="25">
        <f>E2435*D2435</f>
        <v>0</v>
      </c>
    </row>
    <row r="2436" spans="2:6" ht="16">
      <c r="B2436" s="26"/>
      <c r="C2436" s="26"/>
      <c r="D2436" s="26"/>
      <c r="E2436" s="26"/>
      <c r="F2436" s="25">
        <f>E2436*D2436</f>
        <v>0</v>
      </c>
    </row>
    <row r="2437" spans="2:6" ht="16">
      <c r="B2437" s="30"/>
      <c r="C2437" s="26"/>
      <c r="D2437" s="26"/>
      <c r="E2437" s="26"/>
      <c r="F2437" s="25">
        <f>E2437*D2437</f>
        <v>0</v>
      </c>
    </row>
    <row r="2438" spans="2:6" ht="16">
      <c r="B2438" s="8"/>
      <c r="C2438" s="8"/>
      <c r="D2438" s="8"/>
      <c r="E2438" s="8"/>
    </row>
    <row r="2439" spans="2:6" ht="14" thickBot="1">
      <c r="B2439" s="19" t="s">
        <v>33</v>
      </c>
      <c r="C2439" s="19"/>
      <c r="D2439" s="19"/>
      <c r="E2439" s="19"/>
      <c r="F2439" s="23">
        <f>SUM(F2433:F2438)</f>
        <v>8500</v>
      </c>
    </row>
    <row r="2440" spans="2:6" ht="16">
      <c r="B2440" s="8"/>
      <c r="C2440" s="8"/>
      <c r="D2440" s="8"/>
      <c r="E2440" s="8"/>
    </row>
    <row r="2441" spans="2:6" ht="17" thickBot="1">
      <c r="B2441" s="8"/>
      <c r="C2441" s="8"/>
      <c r="D2441" s="8"/>
      <c r="E2441" s="8"/>
    </row>
    <row r="2442" spans="2:6" ht="17" thickBot="1">
      <c r="B2442" s="31" t="s">
        <v>34</v>
      </c>
      <c r="C2442" s="13"/>
      <c r="D2442" s="13"/>
      <c r="E2442" s="13"/>
      <c r="F2442" s="32">
        <f>F2419+F2429+F2439</f>
        <v>211602</v>
      </c>
    </row>
    <row r="2443" spans="2:6" ht="17" thickBot="1">
      <c r="B2443" s="31" t="s">
        <v>35</v>
      </c>
      <c r="C2443" s="13"/>
      <c r="D2443" s="13"/>
      <c r="E2443" s="33">
        <f>E2271</f>
        <v>0.1</v>
      </c>
      <c r="F2443" s="32">
        <f>F2442*E2443</f>
        <v>21160.2</v>
      </c>
    </row>
    <row r="2444" spans="2:6" ht="17" thickBot="1">
      <c r="B2444" s="31" t="s">
        <v>36</v>
      </c>
      <c r="C2444" s="13"/>
      <c r="D2444" s="13"/>
      <c r="E2444" s="33">
        <f>E2272</f>
        <v>0.1</v>
      </c>
      <c r="F2444" s="32">
        <f>F2442*E2444</f>
        <v>21160.2</v>
      </c>
    </row>
    <row r="2445" spans="2:6" ht="17" thickBot="1">
      <c r="B2445" s="34" t="s">
        <v>37</v>
      </c>
      <c r="C2445" s="35"/>
      <c r="D2445" s="35"/>
      <c r="E2445" s="35"/>
      <c r="F2445" s="32">
        <f>SUM(F2442:F2444)</f>
        <v>253922.40000000002</v>
      </c>
    </row>
    <row r="2446" spans="2:6" ht="17" thickBot="1">
      <c r="B2446" s="36"/>
      <c r="C2446" s="8"/>
      <c r="D2446" s="8"/>
      <c r="E2446" s="8"/>
    </row>
    <row r="2447" spans="2:6" ht="18" thickTop="1" thickBot="1">
      <c r="B2447" s="37" t="s">
        <v>38</v>
      </c>
      <c r="C2447" s="8"/>
      <c r="D2447" s="8"/>
      <c r="E2447" s="8"/>
    </row>
    <row r="2448" spans="2:6" ht="18" thickTop="1" thickBot="1">
      <c r="B2448" s="8"/>
      <c r="C2448" s="8"/>
      <c r="D2448" s="8"/>
      <c r="E2448" s="8"/>
    </row>
    <row r="2449" spans="2:6" ht="17" thickTop="1">
      <c r="B2449" s="38"/>
      <c r="C2449" s="13"/>
      <c r="D2449" s="13"/>
      <c r="E2449" s="39"/>
      <c r="F2449" s="40"/>
    </row>
    <row r="2450" spans="2:6" ht="16">
      <c r="B2450" s="38"/>
      <c r="C2450" s="13"/>
      <c r="D2450" s="13"/>
      <c r="E2450" s="41"/>
      <c r="F2450" s="42"/>
    </row>
    <row r="2451" spans="2:6" ht="16">
      <c r="B2451" s="38"/>
      <c r="C2451" s="13"/>
      <c r="D2451" s="13"/>
      <c r="E2451" s="41"/>
      <c r="F2451" s="42"/>
    </row>
    <row r="2452" spans="2:6" ht="17" thickBot="1">
      <c r="B2452" s="54"/>
      <c r="C2452" s="35"/>
      <c r="D2452" s="35"/>
      <c r="E2452" s="44"/>
      <c r="F2452" s="45"/>
    </row>
    <row r="2453" spans="2:6" ht="17" thickTop="1">
      <c r="B2453" s="46"/>
      <c r="C2453" s="46"/>
      <c r="D2453" s="46"/>
      <c r="E2453" s="47"/>
      <c r="F2453" s="47"/>
    </row>
    <row r="2454" spans="2:6" ht="16">
      <c r="B2454" s="46"/>
      <c r="C2454" s="46"/>
      <c r="D2454" s="46"/>
      <c r="E2454" s="47"/>
      <c r="F2454" s="47"/>
    </row>
    <row r="2455" spans="2:6" ht="14" thickBot="1">
      <c r="B2455" s="1" t="s">
        <v>0</v>
      </c>
      <c r="C2455" s="1"/>
    </row>
    <row r="2456" spans="2:6" ht="17" thickBot="1">
      <c r="B2456" s="1" t="s">
        <v>1</v>
      </c>
      <c r="C2456" s="1"/>
      <c r="E2456" s="4" t="s">
        <v>2</v>
      </c>
      <c r="F2456" s="5"/>
    </row>
    <row r="2457" spans="2:6">
      <c r="B2457" s="6"/>
    </row>
    <row r="2458" spans="2:6" ht="16">
      <c r="B2458" s="7" t="s">
        <v>3</v>
      </c>
      <c r="C2458" s="7"/>
      <c r="D2458" s="7"/>
      <c r="E2458" s="7"/>
      <c r="F2458" s="7"/>
    </row>
    <row r="2459" spans="2:6" ht="16">
      <c r="B2459" s="8"/>
      <c r="C2459" s="8"/>
      <c r="D2459" s="8"/>
      <c r="E2459" s="8"/>
    </row>
    <row r="2460" spans="2:6" ht="16">
      <c r="B2460" s="9" t="s">
        <v>4</v>
      </c>
      <c r="C2460" s="13" t="str">
        <f>C2402</f>
        <v>MEJORAMIENTO ESPACIO PUBLICO JJVV LUCILA GODOY ALCAYAGA</v>
      </c>
      <c r="D2460" s="13"/>
      <c r="E2460" s="13"/>
      <c r="F2460" s="14"/>
    </row>
    <row r="2461" spans="2:6" ht="16">
      <c r="B2461" s="12"/>
      <c r="C2461" s="8"/>
      <c r="D2461" s="8"/>
      <c r="E2461" s="8"/>
    </row>
    <row r="2462" spans="2:6" ht="16">
      <c r="B2462" s="9" t="s">
        <v>5</v>
      </c>
      <c r="C2462" s="13" t="s">
        <v>6</v>
      </c>
      <c r="D2462" s="13"/>
      <c r="E2462" s="13"/>
      <c r="F2462" s="14"/>
    </row>
    <row r="2463" spans="2:6" ht="16">
      <c r="B2463" s="9"/>
      <c r="C2463" s="13"/>
      <c r="D2463" s="13"/>
      <c r="E2463" s="13"/>
      <c r="F2463" s="14"/>
    </row>
    <row r="2464" spans="2:6" ht="16">
      <c r="B2464" s="9" t="s">
        <v>7</v>
      </c>
      <c r="C2464" s="13" t="str">
        <f>[1]LGA!A63</f>
        <v>3.1.7</v>
      </c>
      <c r="D2464" s="13"/>
      <c r="E2464" s="13"/>
      <c r="F2464" s="14"/>
    </row>
    <row r="2465" spans="2:6" ht="16">
      <c r="B2465" s="9" t="s">
        <v>8</v>
      </c>
      <c r="C2465" s="13" t="s">
        <v>175</v>
      </c>
      <c r="D2465" s="13"/>
      <c r="E2465" s="13"/>
      <c r="F2465" s="14"/>
    </row>
    <row r="2466" spans="2:6" ht="16">
      <c r="B2466" s="9" t="s">
        <v>10</v>
      </c>
      <c r="C2466" s="13" t="s">
        <v>170</v>
      </c>
      <c r="D2466" s="13"/>
      <c r="E2466" s="13"/>
      <c r="F2466" s="14"/>
    </row>
    <row r="2467" spans="2:6" ht="16">
      <c r="B2467" s="9" t="s">
        <v>12</v>
      </c>
      <c r="C2467" s="15">
        <f>C2409</f>
        <v>46024</v>
      </c>
      <c r="D2467" s="13"/>
      <c r="E2467" s="13"/>
      <c r="F2467" s="14"/>
    </row>
    <row r="2468" spans="2:6" ht="17" thickBot="1">
      <c r="B2468" s="8"/>
      <c r="C2468" s="8"/>
      <c r="D2468" s="8"/>
      <c r="E2468" s="8"/>
    </row>
    <row r="2469" spans="2:6" ht="15" thickTop="1" thickBot="1">
      <c r="B2469" s="16" t="s">
        <v>13</v>
      </c>
      <c r="C2469" s="17" t="s">
        <v>14</v>
      </c>
      <c r="D2469" s="17" t="s">
        <v>15</v>
      </c>
      <c r="E2469" s="17" t="s">
        <v>16</v>
      </c>
      <c r="F2469" s="18" t="s">
        <v>17</v>
      </c>
    </row>
    <row r="2470" spans="2:6" ht="14" thickTop="1">
      <c r="B2470" s="19"/>
      <c r="C2470" s="19"/>
      <c r="D2470" s="19"/>
      <c r="E2470" s="19"/>
      <c r="F2470" s="19"/>
    </row>
    <row r="2471" spans="2:6">
      <c r="B2471" s="20" t="s">
        <v>176</v>
      </c>
      <c r="C2471" s="21" t="s">
        <v>43</v>
      </c>
      <c r="D2471" s="21">
        <v>0.08</v>
      </c>
      <c r="E2471" s="22">
        <v>180000</v>
      </c>
      <c r="F2471" s="22">
        <f t="shared" ref="F2471:F2476" si="40">E2471*D2471</f>
        <v>14400</v>
      </c>
    </row>
    <row r="2472" spans="2:6">
      <c r="B2472" s="20" t="s">
        <v>177</v>
      </c>
      <c r="C2472" s="21" t="s">
        <v>43</v>
      </c>
      <c r="D2472" s="21">
        <v>7.0000000000000007E-2</v>
      </c>
      <c r="E2472" s="22">
        <v>20000</v>
      </c>
      <c r="F2472" s="22">
        <f t="shared" si="40"/>
        <v>1400.0000000000002</v>
      </c>
    </row>
    <row r="2473" spans="2:6">
      <c r="B2473" s="20"/>
      <c r="C2473" s="21"/>
      <c r="D2473" s="21"/>
      <c r="E2473" s="22"/>
      <c r="F2473" s="22">
        <f t="shared" si="40"/>
        <v>0</v>
      </c>
    </row>
    <row r="2474" spans="2:6">
      <c r="B2474" s="20"/>
      <c r="C2474" s="21"/>
      <c r="D2474" s="21"/>
      <c r="E2474" s="22"/>
      <c r="F2474" s="22">
        <f t="shared" si="40"/>
        <v>0</v>
      </c>
    </row>
    <row r="2475" spans="2:6">
      <c r="B2475" s="20"/>
      <c r="C2475" s="21"/>
      <c r="D2475" s="21"/>
      <c r="E2475" s="22"/>
      <c r="F2475" s="22">
        <f t="shared" si="40"/>
        <v>0</v>
      </c>
    </row>
    <row r="2476" spans="2:6">
      <c r="B2476" s="20"/>
      <c r="C2476" s="21"/>
      <c r="D2476" s="21"/>
      <c r="E2476" s="22"/>
      <c r="F2476" s="22">
        <f t="shared" si="40"/>
        <v>0</v>
      </c>
    </row>
    <row r="2477" spans="2:6" ht="17" thickBot="1">
      <c r="B2477" s="6" t="s">
        <v>19</v>
      </c>
      <c r="C2477" s="8"/>
      <c r="D2477" s="8"/>
      <c r="E2477" s="8"/>
      <c r="F2477" s="23">
        <f>SUM(F2471:F2476)</f>
        <v>15800</v>
      </c>
    </row>
    <row r="2478" spans="2:6" ht="17" thickBot="1">
      <c r="B2478" s="8"/>
      <c r="C2478" s="8"/>
      <c r="D2478" s="8"/>
      <c r="E2478" s="8"/>
    </row>
    <row r="2479" spans="2:6" ht="15" thickTop="1" thickBot="1">
      <c r="B2479" s="16" t="s">
        <v>20</v>
      </c>
      <c r="C2479" s="17" t="s">
        <v>14</v>
      </c>
      <c r="D2479" s="17" t="s">
        <v>15</v>
      </c>
      <c r="E2479" s="17" t="s">
        <v>16</v>
      </c>
      <c r="F2479" s="18" t="s">
        <v>17</v>
      </c>
    </row>
    <row r="2480" spans="2:6" ht="17" thickTop="1">
      <c r="B2480" s="8"/>
      <c r="C2480" s="8"/>
      <c r="D2480" s="8"/>
      <c r="E2480" s="8"/>
    </row>
    <row r="2481" spans="2:6">
      <c r="B2481" s="24" t="s">
        <v>21</v>
      </c>
      <c r="C2481" s="20" t="s">
        <v>22</v>
      </c>
      <c r="D2481" s="20">
        <v>4.3999999999999997E-2</v>
      </c>
      <c r="E2481" s="22">
        <v>27500</v>
      </c>
      <c r="F2481" s="25">
        <f>E2481*D2481</f>
        <v>1210</v>
      </c>
    </row>
    <row r="2482" spans="2:6">
      <c r="B2482" s="20" t="s">
        <v>23</v>
      </c>
      <c r="C2482" s="20" t="s">
        <v>22</v>
      </c>
      <c r="D2482" s="20">
        <v>4.3999999999999997E-2</v>
      </c>
      <c r="E2482" s="22">
        <v>15000</v>
      </c>
      <c r="F2482" s="25">
        <f>E2482*D2482</f>
        <v>660</v>
      </c>
    </row>
    <row r="2483" spans="2:6" ht="16">
      <c r="B2483" s="26"/>
      <c r="C2483" s="26"/>
      <c r="D2483" s="26"/>
      <c r="E2483" s="26"/>
      <c r="F2483" s="25">
        <f>E2483*D2483</f>
        <v>0</v>
      </c>
    </row>
    <row r="2484" spans="2:6" ht="16">
      <c r="B2484" s="26"/>
      <c r="C2484" s="26"/>
      <c r="D2484" s="26"/>
      <c r="E2484" s="26"/>
      <c r="F2484" s="25">
        <f>E2484*D2484</f>
        <v>0</v>
      </c>
    </row>
    <row r="2485" spans="2:6" ht="16">
      <c r="B2485" s="27" t="s">
        <v>25</v>
      </c>
      <c r="C2485" s="27" t="s">
        <v>26</v>
      </c>
      <c r="D2485" s="28">
        <v>0.32</v>
      </c>
      <c r="E2485" s="29">
        <f>SUM(E2481:E2484)*D2485</f>
        <v>13600</v>
      </c>
      <c r="F2485" s="25">
        <f>E2485*D2485</f>
        <v>4352</v>
      </c>
    </row>
    <row r="2486" spans="2:6" ht="16">
      <c r="B2486" s="8"/>
      <c r="C2486" s="8"/>
      <c r="D2486" s="8"/>
      <c r="E2486" s="8"/>
    </row>
    <row r="2487" spans="2:6" ht="17" thickBot="1">
      <c r="B2487" s="6" t="s">
        <v>27</v>
      </c>
      <c r="C2487" s="8"/>
      <c r="D2487" s="8"/>
      <c r="E2487" s="8"/>
      <c r="F2487" s="23">
        <f>SUM(F2481:F2486)</f>
        <v>6222</v>
      </c>
    </row>
    <row r="2488" spans="2:6" ht="17" thickBot="1">
      <c r="B2488" s="8"/>
      <c r="C2488" s="8"/>
      <c r="D2488" s="8"/>
      <c r="E2488" s="8"/>
    </row>
    <row r="2489" spans="2:6" ht="15" thickTop="1" thickBot="1">
      <c r="B2489" s="16" t="s">
        <v>28</v>
      </c>
      <c r="C2489" s="17" t="s">
        <v>14</v>
      </c>
      <c r="D2489" s="17" t="s">
        <v>15</v>
      </c>
      <c r="E2489" s="17" t="s">
        <v>16</v>
      </c>
      <c r="F2489" s="18" t="s">
        <v>17</v>
      </c>
    </row>
    <row r="2490" spans="2:6" ht="17" thickTop="1">
      <c r="B2490" s="8"/>
      <c r="C2490" s="8"/>
      <c r="D2490" s="8"/>
      <c r="E2490" s="8"/>
    </row>
    <row r="2491" spans="2:6">
      <c r="B2491" s="20" t="s">
        <v>82</v>
      </c>
      <c r="C2491" s="20" t="s">
        <v>30</v>
      </c>
      <c r="D2491" s="68">
        <v>0.02</v>
      </c>
      <c r="E2491" s="22">
        <v>25000</v>
      </c>
      <c r="F2491" s="25">
        <f>E2491*D2491</f>
        <v>500</v>
      </c>
    </row>
    <row r="2492" spans="2:6">
      <c r="B2492" s="20" t="s">
        <v>31</v>
      </c>
      <c r="C2492" s="20" t="s">
        <v>32</v>
      </c>
      <c r="D2492" s="68">
        <v>0.01</v>
      </c>
      <c r="E2492" s="22">
        <v>25000</v>
      </c>
      <c r="F2492" s="25">
        <f>E2492*D2492</f>
        <v>250</v>
      </c>
    </row>
    <row r="2493" spans="2:6" ht="16">
      <c r="B2493" s="26"/>
      <c r="C2493" s="26"/>
      <c r="D2493" s="26"/>
      <c r="E2493" s="26"/>
      <c r="F2493" s="25">
        <f>E2493*D2493</f>
        <v>0</v>
      </c>
    </row>
    <row r="2494" spans="2:6" ht="16">
      <c r="B2494" s="26"/>
      <c r="C2494" s="26"/>
      <c r="D2494" s="26"/>
      <c r="E2494" s="26"/>
      <c r="F2494" s="25">
        <f>E2494*D2494</f>
        <v>0</v>
      </c>
    </row>
    <row r="2495" spans="2:6" ht="16">
      <c r="B2495" s="30"/>
      <c r="C2495" s="26"/>
      <c r="D2495" s="26"/>
      <c r="E2495" s="26"/>
      <c r="F2495" s="25">
        <f>E2495*D2495</f>
        <v>0</v>
      </c>
    </row>
    <row r="2496" spans="2:6" ht="16">
      <c r="B2496" s="8"/>
      <c r="C2496" s="8"/>
      <c r="D2496" s="8"/>
      <c r="E2496" s="8"/>
    </row>
    <row r="2497" spans="2:6" ht="14" thickBot="1">
      <c r="B2497" s="19" t="s">
        <v>33</v>
      </c>
      <c r="C2497" s="19"/>
      <c r="D2497" s="19"/>
      <c r="E2497" s="19"/>
      <c r="F2497" s="23">
        <f>SUM(F2491:F2496)</f>
        <v>750</v>
      </c>
    </row>
    <row r="2498" spans="2:6" ht="16">
      <c r="B2498" s="8"/>
      <c r="C2498" s="8"/>
      <c r="D2498" s="8"/>
      <c r="E2498" s="8"/>
    </row>
    <row r="2499" spans="2:6" ht="17" thickBot="1">
      <c r="B2499" s="8"/>
      <c r="C2499" s="8"/>
      <c r="D2499" s="8"/>
      <c r="E2499" s="8"/>
    </row>
    <row r="2500" spans="2:6" ht="17" thickBot="1">
      <c r="B2500" s="31" t="s">
        <v>34</v>
      </c>
      <c r="C2500" s="13"/>
      <c r="D2500" s="13"/>
      <c r="E2500" s="13"/>
      <c r="F2500" s="32">
        <f>F2477+F2487+F2497</f>
        <v>22772</v>
      </c>
    </row>
    <row r="2501" spans="2:6" ht="17" thickBot="1">
      <c r="B2501" s="31" t="s">
        <v>35</v>
      </c>
      <c r="C2501" s="13"/>
      <c r="D2501" s="13"/>
      <c r="E2501" s="33">
        <v>0.1</v>
      </c>
      <c r="F2501" s="32">
        <f>F2500*E2501</f>
        <v>2277.2000000000003</v>
      </c>
    </row>
    <row r="2502" spans="2:6" ht="17" thickBot="1">
      <c r="B2502" s="31" t="s">
        <v>36</v>
      </c>
      <c r="C2502" s="13"/>
      <c r="D2502" s="13"/>
      <c r="E2502" s="33">
        <v>0.1</v>
      </c>
      <c r="F2502" s="32">
        <f>F2500*E2502</f>
        <v>2277.2000000000003</v>
      </c>
    </row>
    <row r="2503" spans="2:6" ht="17" thickBot="1">
      <c r="B2503" s="34" t="s">
        <v>37</v>
      </c>
      <c r="C2503" s="35"/>
      <c r="D2503" s="35"/>
      <c r="E2503" s="35"/>
      <c r="F2503" s="32">
        <f>SUM(F2500:F2502)</f>
        <v>27326.400000000001</v>
      </c>
    </row>
    <row r="2504" spans="2:6" ht="17" thickBot="1">
      <c r="B2504" s="36"/>
      <c r="C2504" s="8"/>
      <c r="D2504" s="8"/>
      <c r="E2504" s="8"/>
    </row>
    <row r="2505" spans="2:6" ht="18" thickTop="1" thickBot="1">
      <c r="B2505" s="37" t="s">
        <v>38</v>
      </c>
      <c r="C2505" s="8"/>
      <c r="D2505" s="8"/>
      <c r="E2505" s="8"/>
    </row>
    <row r="2506" spans="2:6" ht="18" thickTop="1" thickBot="1">
      <c r="B2506" s="8"/>
      <c r="C2506" s="8"/>
      <c r="D2506" s="8"/>
      <c r="E2506" s="8"/>
    </row>
    <row r="2507" spans="2:6" ht="17" thickTop="1">
      <c r="B2507" s="38"/>
      <c r="C2507" s="13"/>
      <c r="D2507" s="13"/>
      <c r="E2507" s="39"/>
      <c r="F2507" s="40"/>
    </row>
    <row r="2508" spans="2:6" ht="16">
      <c r="B2508" s="38"/>
      <c r="C2508" s="13"/>
      <c r="D2508" s="13"/>
      <c r="E2508" s="41"/>
      <c r="F2508" s="42"/>
    </row>
    <row r="2509" spans="2:6" ht="16">
      <c r="B2509" s="38"/>
      <c r="C2509" s="13"/>
      <c r="D2509" s="13"/>
      <c r="E2509" s="41"/>
      <c r="F2509" s="42"/>
    </row>
    <row r="2510" spans="2:6" ht="17" thickBot="1">
      <c r="B2510" s="54"/>
      <c r="C2510" s="35"/>
      <c r="D2510" s="35"/>
      <c r="E2510" s="44"/>
      <c r="F2510" s="45"/>
    </row>
    <row r="2511" spans="2:6" ht="14" thickTop="1"/>
    <row r="2512" spans="2:6" ht="14" thickBot="1">
      <c r="B2512" s="1" t="s">
        <v>0</v>
      </c>
      <c r="C2512" s="1"/>
    </row>
    <row r="2513" spans="2:6" ht="17" thickBot="1">
      <c r="B2513" s="1" t="s">
        <v>1</v>
      </c>
      <c r="C2513" s="1"/>
      <c r="E2513" s="4" t="s">
        <v>2</v>
      </c>
      <c r="F2513" s="5"/>
    </row>
    <row r="2514" spans="2:6">
      <c r="B2514" s="6"/>
    </row>
    <row r="2515" spans="2:6" ht="16">
      <c r="B2515" s="7" t="s">
        <v>3</v>
      </c>
      <c r="C2515" s="7"/>
      <c r="D2515" s="7"/>
      <c r="E2515" s="7"/>
      <c r="F2515" s="7"/>
    </row>
    <row r="2516" spans="2:6" ht="16">
      <c r="B2516" s="8"/>
      <c r="C2516" s="8"/>
      <c r="D2516" s="8"/>
      <c r="E2516" s="8"/>
    </row>
    <row r="2517" spans="2:6" ht="16">
      <c r="B2517" s="9" t="s">
        <v>4</v>
      </c>
      <c r="C2517" s="13" t="str">
        <f>C2460</f>
        <v>MEJORAMIENTO ESPACIO PUBLICO JJVV LUCILA GODOY ALCAYAGA</v>
      </c>
      <c r="D2517" s="13"/>
      <c r="E2517" s="13"/>
      <c r="F2517" s="14"/>
    </row>
    <row r="2518" spans="2:6" ht="16">
      <c r="B2518" s="12"/>
      <c r="C2518" s="8"/>
      <c r="D2518" s="8"/>
      <c r="E2518" s="8"/>
    </row>
    <row r="2519" spans="2:6" ht="16">
      <c r="B2519" s="9" t="s">
        <v>5</v>
      </c>
      <c r="C2519" s="13" t="s">
        <v>6</v>
      </c>
      <c r="D2519" s="13"/>
      <c r="E2519" s="13"/>
      <c r="F2519" s="14"/>
    </row>
    <row r="2520" spans="2:6" ht="16">
      <c r="B2520" s="9"/>
      <c r="C2520" s="13"/>
      <c r="D2520" s="13"/>
      <c r="E2520" s="13"/>
      <c r="F2520" s="14"/>
    </row>
    <row r="2521" spans="2:6" ht="16">
      <c r="B2521" s="9" t="s">
        <v>7</v>
      </c>
      <c r="C2521" s="13" t="str">
        <f>[1]LGA!A64</f>
        <v>3.1.8</v>
      </c>
      <c r="D2521" s="13"/>
      <c r="E2521" s="13"/>
      <c r="F2521" s="14"/>
    </row>
    <row r="2522" spans="2:6" ht="16">
      <c r="B2522" s="9" t="s">
        <v>8</v>
      </c>
      <c r="C2522" s="13" t="s">
        <v>178</v>
      </c>
      <c r="D2522" s="13"/>
      <c r="E2522" s="13"/>
      <c r="F2522" s="14"/>
    </row>
    <row r="2523" spans="2:6" ht="16">
      <c r="B2523" s="9" t="s">
        <v>10</v>
      </c>
      <c r="C2523" s="13" t="s">
        <v>179</v>
      </c>
      <c r="D2523" s="13"/>
      <c r="E2523" s="13"/>
      <c r="F2523" s="14"/>
    </row>
    <row r="2524" spans="2:6" ht="16">
      <c r="B2524" s="9" t="s">
        <v>12</v>
      </c>
      <c r="C2524" s="15">
        <f>C2467</f>
        <v>46024</v>
      </c>
      <c r="D2524" s="13"/>
      <c r="E2524" s="13"/>
      <c r="F2524" s="14"/>
    </row>
    <row r="2525" spans="2:6" ht="17" thickBot="1">
      <c r="B2525" s="8"/>
      <c r="C2525" s="8"/>
      <c r="D2525" s="8"/>
      <c r="E2525" s="8"/>
    </row>
    <row r="2526" spans="2:6" ht="15" thickTop="1" thickBot="1">
      <c r="B2526" s="16" t="s">
        <v>13</v>
      </c>
      <c r="C2526" s="17" t="s">
        <v>14</v>
      </c>
      <c r="D2526" s="17" t="s">
        <v>15</v>
      </c>
      <c r="E2526" s="17" t="s">
        <v>16</v>
      </c>
      <c r="F2526" s="18" t="s">
        <v>17</v>
      </c>
    </row>
    <row r="2527" spans="2:6" ht="14" thickTop="1">
      <c r="B2527" s="19"/>
      <c r="C2527" s="19"/>
      <c r="D2527" s="19"/>
      <c r="E2527" s="19"/>
      <c r="F2527" s="19"/>
    </row>
    <row r="2528" spans="2:6">
      <c r="B2528" s="20" t="s">
        <v>180</v>
      </c>
      <c r="C2528" s="21" t="s">
        <v>43</v>
      </c>
      <c r="D2528" s="21">
        <v>4.8000000000000001E-2</v>
      </c>
      <c r="E2528" s="22">
        <v>1000</v>
      </c>
      <c r="F2528" s="22">
        <f t="shared" ref="F2528:F2533" si="41">E2528*D2528</f>
        <v>48</v>
      </c>
    </row>
    <row r="2529" spans="2:6">
      <c r="B2529" s="20"/>
      <c r="C2529" s="21"/>
      <c r="D2529" s="21"/>
      <c r="E2529" s="22"/>
      <c r="F2529" s="22">
        <f t="shared" si="41"/>
        <v>0</v>
      </c>
    </row>
    <row r="2530" spans="2:6">
      <c r="B2530" s="20"/>
      <c r="C2530" s="21"/>
      <c r="D2530" s="21"/>
      <c r="E2530" s="22"/>
      <c r="F2530" s="22">
        <f t="shared" si="41"/>
        <v>0</v>
      </c>
    </row>
    <row r="2531" spans="2:6">
      <c r="B2531" s="20"/>
      <c r="C2531" s="21"/>
      <c r="D2531" s="21"/>
      <c r="E2531" s="22"/>
      <c r="F2531" s="22">
        <f t="shared" si="41"/>
        <v>0</v>
      </c>
    </row>
    <row r="2532" spans="2:6">
      <c r="B2532" s="20"/>
      <c r="C2532" s="21"/>
      <c r="D2532" s="21"/>
      <c r="E2532" s="22"/>
      <c r="F2532" s="22">
        <f t="shared" si="41"/>
        <v>0</v>
      </c>
    </row>
    <row r="2533" spans="2:6">
      <c r="B2533" s="20"/>
      <c r="C2533" s="21"/>
      <c r="D2533" s="21"/>
      <c r="E2533" s="22"/>
      <c r="F2533" s="22">
        <f t="shared" si="41"/>
        <v>0</v>
      </c>
    </row>
    <row r="2534" spans="2:6" ht="17" thickBot="1">
      <c r="B2534" s="6" t="s">
        <v>19</v>
      </c>
      <c r="C2534" s="8"/>
      <c r="D2534" s="8"/>
      <c r="E2534" s="8"/>
      <c r="F2534" s="23">
        <f>SUM(F2528:F2533)</f>
        <v>48</v>
      </c>
    </row>
    <row r="2535" spans="2:6" ht="17" thickBot="1">
      <c r="B2535" s="8"/>
      <c r="C2535" s="8"/>
      <c r="D2535" s="8"/>
      <c r="E2535" s="8"/>
    </row>
    <row r="2536" spans="2:6" ht="15" thickTop="1" thickBot="1">
      <c r="B2536" s="16" t="s">
        <v>20</v>
      </c>
      <c r="C2536" s="17" t="s">
        <v>14</v>
      </c>
      <c r="D2536" s="17" t="s">
        <v>15</v>
      </c>
      <c r="E2536" s="17" t="s">
        <v>16</v>
      </c>
      <c r="F2536" s="18" t="s">
        <v>17</v>
      </c>
    </row>
    <row r="2537" spans="2:6" ht="17" thickTop="1">
      <c r="B2537" s="8"/>
      <c r="C2537" s="8"/>
      <c r="D2537" s="8"/>
      <c r="E2537" s="8"/>
    </row>
    <row r="2538" spans="2:6">
      <c r="B2538" s="24" t="s">
        <v>21</v>
      </c>
      <c r="C2538" s="20" t="s">
        <v>22</v>
      </c>
      <c r="D2538" s="20">
        <v>2E-3</v>
      </c>
      <c r="E2538" s="22">
        <v>27500</v>
      </c>
      <c r="F2538" s="25">
        <f>E2538*D2538</f>
        <v>55</v>
      </c>
    </row>
    <row r="2539" spans="2:6">
      <c r="B2539" s="20" t="s">
        <v>23</v>
      </c>
      <c r="C2539" s="20" t="s">
        <v>22</v>
      </c>
      <c r="D2539" s="20">
        <v>2E-3</v>
      </c>
      <c r="E2539" s="22">
        <v>15000</v>
      </c>
      <c r="F2539" s="25">
        <f>E2539*D2539</f>
        <v>30</v>
      </c>
    </row>
    <row r="2540" spans="2:6" ht="16">
      <c r="B2540" s="26"/>
      <c r="C2540" s="26"/>
      <c r="D2540" s="26"/>
      <c r="E2540" s="26"/>
      <c r="F2540" s="25">
        <f>E2540*D2540</f>
        <v>0</v>
      </c>
    </row>
    <row r="2541" spans="2:6" ht="16">
      <c r="B2541" s="26"/>
      <c r="C2541" s="26"/>
      <c r="D2541" s="26"/>
      <c r="E2541" s="26"/>
      <c r="F2541" s="25">
        <f>E2541*D2541</f>
        <v>0</v>
      </c>
    </row>
    <row r="2542" spans="2:6" ht="16">
      <c r="B2542" s="27" t="s">
        <v>25</v>
      </c>
      <c r="C2542" s="27" t="s">
        <v>26</v>
      </c>
      <c r="D2542" s="28">
        <v>0.32</v>
      </c>
      <c r="E2542" s="29">
        <f>SUM(E2538:E2541)*D2542</f>
        <v>13600</v>
      </c>
      <c r="F2542" s="25">
        <f>E2542*D2542</f>
        <v>4352</v>
      </c>
    </row>
    <row r="2543" spans="2:6" ht="16">
      <c r="B2543" s="8"/>
      <c r="C2543" s="8"/>
      <c r="D2543" s="8"/>
      <c r="E2543" s="8"/>
    </row>
    <row r="2544" spans="2:6" ht="17" thickBot="1">
      <c r="B2544" s="6" t="s">
        <v>27</v>
      </c>
      <c r="C2544" s="8"/>
      <c r="D2544" s="8"/>
      <c r="E2544" s="8"/>
      <c r="F2544" s="23">
        <f>SUM(F2538:F2543)</f>
        <v>4437</v>
      </c>
    </row>
    <row r="2545" spans="2:6" ht="17" thickBot="1">
      <c r="B2545" s="8"/>
      <c r="C2545" s="8"/>
      <c r="D2545" s="8"/>
      <c r="E2545" s="8"/>
    </row>
    <row r="2546" spans="2:6" ht="15" thickTop="1" thickBot="1">
      <c r="B2546" s="16" t="s">
        <v>28</v>
      </c>
      <c r="C2546" s="17" t="s">
        <v>14</v>
      </c>
      <c r="D2546" s="17" t="s">
        <v>15</v>
      </c>
      <c r="E2546" s="17" t="s">
        <v>16</v>
      </c>
      <c r="F2546" s="18" t="s">
        <v>17</v>
      </c>
    </row>
    <row r="2547" spans="2:6" ht="17" thickTop="1">
      <c r="B2547" s="8"/>
      <c r="C2547" s="8"/>
      <c r="D2547" s="8"/>
      <c r="E2547" s="8"/>
    </row>
    <row r="2548" spans="2:6">
      <c r="B2548" s="20" t="s">
        <v>125</v>
      </c>
      <c r="C2548" s="20" t="s">
        <v>30</v>
      </c>
      <c r="D2548" s="71">
        <v>0.02</v>
      </c>
      <c r="E2548" s="22">
        <v>15000</v>
      </c>
      <c r="F2548" s="25">
        <f>E2548*D2548</f>
        <v>300</v>
      </c>
    </row>
    <row r="2549" spans="2:6">
      <c r="B2549" s="20" t="s">
        <v>31</v>
      </c>
      <c r="C2549" s="20" t="s">
        <v>32</v>
      </c>
      <c r="D2549" s="71">
        <v>0.01</v>
      </c>
      <c r="E2549" s="22">
        <v>25000</v>
      </c>
      <c r="F2549" s="25">
        <f>E2549*D2549</f>
        <v>250</v>
      </c>
    </row>
    <row r="2550" spans="2:6" ht="16">
      <c r="B2550" s="26"/>
      <c r="C2550" s="26"/>
      <c r="D2550" s="26"/>
      <c r="E2550" s="26"/>
      <c r="F2550" s="25">
        <f>E2550*D2550</f>
        <v>0</v>
      </c>
    </row>
    <row r="2551" spans="2:6" ht="16">
      <c r="B2551" s="26"/>
      <c r="C2551" s="26"/>
      <c r="D2551" s="26"/>
      <c r="E2551" s="26"/>
      <c r="F2551" s="25">
        <f>E2551*D2551</f>
        <v>0</v>
      </c>
    </row>
    <row r="2552" spans="2:6" ht="16">
      <c r="B2552" s="30"/>
      <c r="C2552" s="26"/>
      <c r="D2552" s="26"/>
      <c r="E2552" s="26"/>
      <c r="F2552" s="25">
        <f>E2552*D2552</f>
        <v>0</v>
      </c>
    </row>
    <row r="2553" spans="2:6" ht="16">
      <c r="B2553" s="8"/>
      <c r="C2553" s="8"/>
      <c r="D2553" s="8"/>
      <c r="E2553" s="8"/>
    </row>
    <row r="2554" spans="2:6" ht="14" thickBot="1">
      <c r="B2554" s="19" t="s">
        <v>33</v>
      </c>
      <c r="C2554" s="19"/>
      <c r="D2554" s="19"/>
      <c r="E2554" s="19"/>
      <c r="F2554" s="23">
        <f>SUM(F2548:F2553)</f>
        <v>550</v>
      </c>
    </row>
    <row r="2555" spans="2:6" ht="16">
      <c r="B2555" s="8"/>
      <c r="C2555" s="8"/>
      <c r="D2555" s="8"/>
      <c r="E2555" s="8"/>
    </row>
    <row r="2556" spans="2:6" ht="17" thickBot="1">
      <c r="B2556" s="8"/>
      <c r="C2556" s="8"/>
      <c r="D2556" s="8"/>
      <c r="E2556" s="8"/>
    </row>
    <row r="2557" spans="2:6" ht="17" thickBot="1">
      <c r="B2557" s="31" t="s">
        <v>34</v>
      </c>
      <c r="C2557" s="13"/>
      <c r="D2557" s="13"/>
      <c r="E2557" s="13"/>
      <c r="F2557" s="32">
        <f>F2534+F2544+F2554</f>
        <v>5035</v>
      </c>
    </row>
    <row r="2558" spans="2:6" ht="17" thickBot="1">
      <c r="B2558" s="31" t="s">
        <v>35</v>
      </c>
      <c r="C2558" s="13"/>
      <c r="D2558" s="13"/>
      <c r="E2558" s="33">
        <v>0.1</v>
      </c>
      <c r="F2558" s="32">
        <f>F2557*E2558</f>
        <v>503.5</v>
      </c>
    </row>
    <row r="2559" spans="2:6" ht="17" thickBot="1">
      <c r="B2559" s="31" t="s">
        <v>36</v>
      </c>
      <c r="C2559" s="13"/>
      <c r="D2559" s="13"/>
      <c r="E2559" s="33">
        <v>0.1</v>
      </c>
      <c r="F2559" s="32">
        <f>F2557*E2559</f>
        <v>503.5</v>
      </c>
    </row>
    <row r="2560" spans="2:6" ht="17" thickBot="1">
      <c r="B2560" s="34" t="s">
        <v>37</v>
      </c>
      <c r="C2560" s="35"/>
      <c r="D2560" s="35"/>
      <c r="E2560" s="35"/>
      <c r="F2560" s="32">
        <f>SUM(F2557:F2559)</f>
        <v>6042</v>
      </c>
    </row>
    <row r="2561" spans="2:6" ht="17" thickBot="1">
      <c r="B2561" s="36"/>
      <c r="C2561" s="8"/>
      <c r="D2561" s="8"/>
      <c r="E2561" s="8"/>
    </row>
    <row r="2562" spans="2:6" ht="18" thickTop="1" thickBot="1">
      <c r="B2562" s="37" t="s">
        <v>38</v>
      </c>
      <c r="C2562" s="8"/>
      <c r="D2562" s="8"/>
      <c r="E2562" s="8"/>
    </row>
    <row r="2563" spans="2:6" ht="18" thickTop="1" thickBot="1">
      <c r="B2563" s="8"/>
      <c r="C2563" s="8"/>
      <c r="D2563" s="8"/>
      <c r="E2563" s="8"/>
    </row>
    <row r="2564" spans="2:6" ht="17" thickTop="1">
      <c r="B2564" s="38"/>
      <c r="C2564" s="13"/>
      <c r="D2564" s="13"/>
      <c r="E2564" s="39"/>
      <c r="F2564" s="40"/>
    </row>
    <row r="2565" spans="2:6" ht="16">
      <c r="B2565" s="38"/>
      <c r="C2565" s="13"/>
      <c r="D2565" s="13"/>
      <c r="E2565" s="41"/>
      <c r="F2565" s="42"/>
    </row>
    <row r="2566" spans="2:6" ht="16">
      <c r="B2566" s="38"/>
      <c r="C2566" s="13"/>
      <c r="D2566" s="13"/>
      <c r="E2566" s="41"/>
      <c r="F2566" s="42"/>
    </row>
    <row r="2567" spans="2:6" ht="17" thickBot="1">
      <c r="B2567" s="54"/>
      <c r="C2567" s="35"/>
      <c r="D2567" s="35"/>
      <c r="E2567" s="44"/>
      <c r="F2567" s="45"/>
    </row>
    <row r="2568" spans="2:6" ht="17" thickTop="1">
      <c r="B2568" s="46"/>
      <c r="C2568" s="46"/>
      <c r="D2568" s="46"/>
      <c r="E2568" s="47"/>
      <c r="F2568" s="47"/>
    </row>
    <row r="2569" spans="2:6" ht="14" thickBot="1">
      <c r="B2569" s="1" t="s">
        <v>0</v>
      </c>
      <c r="C2569" s="1"/>
    </row>
    <row r="2570" spans="2:6" ht="17" thickBot="1">
      <c r="B2570" s="1" t="s">
        <v>1</v>
      </c>
      <c r="C2570" s="1"/>
      <c r="E2570" s="4" t="s">
        <v>2</v>
      </c>
      <c r="F2570" s="5"/>
    </row>
    <row r="2571" spans="2:6">
      <c r="B2571" s="6"/>
    </row>
    <row r="2572" spans="2:6" ht="16">
      <c r="B2572" s="7" t="s">
        <v>3</v>
      </c>
      <c r="C2572" s="7"/>
      <c r="D2572" s="7"/>
      <c r="E2572" s="7"/>
      <c r="F2572" s="7"/>
    </row>
    <row r="2573" spans="2:6" ht="16">
      <c r="B2573" s="8"/>
      <c r="C2573" s="8"/>
      <c r="D2573" s="8"/>
      <c r="E2573" s="8"/>
    </row>
    <row r="2574" spans="2:6" ht="16">
      <c r="B2574" s="9" t="s">
        <v>4</v>
      </c>
      <c r="C2574" s="13" t="str">
        <f>C2517</f>
        <v>MEJORAMIENTO ESPACIO PUBLICO JJVV LUCILA GODOY ALCAYAGA</v>
      </c>
      <c r="D2574" s="13"/>
      <c r="E2574" s="13"/>
      <c r="F2574" s="14"/>
    </row>
    <row r="2575" spans="2:6" ht="16">
      <c r="B2575" s="12"/>
      <c r="C2575" s="8"/>
      <c r="D2575" s="8"/>
      <c r="E2575" s="8"/>
    </row>
    <row r="2576" spans="2:6" ht="16">
      <c r="B2576" s="9" t="s">
        <v>5</v>
      </c>
      <c r="C2576" s="13" t="s">
        <v>6</v>
      </c>
      <c r="D2576" s="13"/>
      <c r="E2576" s="13"/>
      <c r="F2576" s="14"/>
    </row>
    <row r="2577" spans="2:6" ht="16">
      <c r="B2577" s="9"/>
      <c r="C2577" s="13"/>
      <c r="D2577" s="13"/>
      <c r="E2577" s="13"/>
      <c r="F2577" s="14"/>
    </row>
    <row r="2578" spans="2:6" ht="16">
      <c r="B2578" s="9" t="s">
        <v>7</v>
      </c>
      <c r="C2578" s="13" t="str">
        <f>[1]LGA!A66</f>
        <v>3.2.1</v>
      </c>
      <c r="D2578" s="13"/>
      <c r="E2578" s="13"/>
      <c r="F2578" s="14"/>
    </row>
    <row r="2579" spans="2:6" ht="16">
      <c r="B2579" s="9" t="s">
        <v>8</v>
      </c>
      <c r="C2579" s="13" t="s">
        <v>181</v>
      </c>
      <c r="D2579" s="13"/>
      <c r="E2579" s="13"/>
      <c r="F2579" s="14"/>
    </row>
    <row r="2580" spans="2:6" ht="16">
      <c r="B2580" s="9" t="s">
        <v>10</v>
      </c>
      <c r="C2580" s="13" t="s">
        <v>182</v>
      </c>
      <c r="D2580" s="13"/>
      <c r="E2580" s="13"/>
      <c r="F2580" s="14"/>
    </row>
    <row r="2581" spans="2:6" ht="16">
      <c r="B2581" s="9" t="s">
        <v>12</v>
      </c>
      <c r="C2581" s="15">
        <f>C2524</f>
        <v>46024</v>
      </c>
      <c r="D2581" s="13"/>
      <c r="E2581" s="13"/>
      <c r="F2581" s="14"/>
    </row>
    <row r="2582" spans="2:6" ht="17" thickBot="1">
      <c r="B2582" s="8"/>
      <c r="C2582" s="8"/>
      <c r="D2582" s="8"/>
      <c r="E2582" s="8"/>
    </row>
    <row r="2583" spans="2:6" ht="15" thickTop="1" thickBot="1">
      <c r="B2583" s="16" t="s">
        <v>13</v>
      </c>
      <c r="C2583" s="17" t="s">
        <v>14</v>
      </c>
      <c r="D2583" s="17" t="s">
        <v>15</v>
      </c>
      <c r="E2583" s="17" t="s">
        <v>16</v>
      </c>
      <c r="F2583" s="18" t="s">
        <v>17</v>
      </c>
    </row>
    <row r="2584" spans="2:6" ht="14" thickTop="1">
      <c r="B2584" s="19"/>
      <c r="C2584" s="19"/>
      <c r="D2584" s="19"/>
      <c r="E2584" s="19"/>
      <c r="F2584" s="19"/>
    </row>
    <row r="2585" spans="2:6">
      <c r="B2585" s="20" t="s">
        <v>183</v>
      </c>
      <c r="C2585" s="21" t="s">
        <v>43</v>
      </c>
      <c r="D2585" s="21">
        <v>0.01</v>
      </c>
      <c r="E2585" s="22">
        <v>6500</v>
      </c>
      <c r="F2585" s="22">
        <f>E2585*D2585</f>
        <v>65</v>
      </c>
    </row>
    <row r="2586" spans="2:6">
      <c r="B2586" s="20" t="s">
        <v>184</v>
      </c>
      <c r="C2586" s="21" t="s">
        <v>43</v>
      </c>
      <c r="D2586" s="21">
        <v>0.05</v>
      </c>
      <c r="E2586" s="22">
        <v>6000</v>
      </c>
      <c r="F2586" s="22">
        <f>E2586*D2586</f>
        <v>300</v>
      </c>
    </row>
    <row r="2587" spans="2:6">
      <c r="B2587" s="20" t="s">
        <v>185</v>
      </c>
      <c r="C2587" s="21" t="s">
        <v>43</v>
      </c>
      <c r="D2587" s="21">
        <v>1E-3</v>
      </c>
      <c r="E2587" s="22">
        <v>45000</v>
      </c>
      <c r="F2587" s="22">
        <f>E2587*D2587</f>
        <v>45</v>
      </c>
    </row>
    <row r="2588" spans="2:6">
      <c r="B2588" s="20" t="s">
        <v>186</v>
      </c>
      <c r="C2588" s="21" t="s">
        <v>43</v>
      </c>
      <c r="D2588" s="21">
        <v>8.9999999999999998E-4</v>
      </c>
      <c r="E2588" s="22">
        <v>150000</v>
      </c>
      <c r="F2588" s="22">
        <f>E2588*D2588</f>
        <v>135</v>
      </c>
    </row>
    <row r="2589" spans="2:6">
      <c r="B2589" s="20" t="s">
        <v>187</v>
      </c>
      <c r="C2589" s="21" t="s">
        <v>43</v>
      </c>
      <c r="D2589" s="21">
        <v>8.9999999999999993E-3</v>
      </c>
      <c r="E2589" s="22">
        <v>85000</v>
      </c>
      <c r="F2589" s="22">
        <f t="shared" ref="F2589:F2595" si="42">E2589*D2589</f>
        <v>764.99999999999989</v>
      </c>
    </row>
    <row r="2590" spans="2:6">
      <c r="B2590" s="20" t="s">
        <v>188</v>
      </c>
      <c r="C2590" s="21" t="s">
        <v>43</v>
      </c>
      <c r="D2590" s="21">
        <v>8.9999999999999993E-3</v>
      </c>
      <c r="E2590" s="22">
        <v>56000</v>
      </c>
      <c r="F2590" s="22">
        <f t="shared" si="42"/>
        <v>503.99999999999994</v>
      </c>
    </row>
    <row r="2591" spans="2:6">
      <c r="B2591" s="20" t="s">
        <v>189</v>
      </c>
      <c r="C2591" s="21" t="s">
        <v>43</v>
      </c>
      <c r="D2591" s="21">
        <v>1.4999999999999999E-2</v>
      </c>
      <c r="E2591" s="22">
        <v>45000</v>
      </c>
      <c r="F2591" s="22">
        <f t="shared" si="42"/>
        <v>675</v>
      </c>
    </row>
    <row r="2592" spans="2:6">
      <c r="B2592" s="20" t="s">
        <v>190</v>
      </c>
      <c r="C2592" s="21" t="s">
        <v>43</v>
      </c>
      <c r="D2592" s="21">
        <v>8.9999999999999993E-3</v>
      </c>
      <c r="E2592" s="22">
        <v>45000</v>
      </c>
      <c r="F2592" s="22">
        <f t="shared" si="42"/>
        <v>404.99999999999994</v>
      </c>
    </row>
    <row r="2593" spans="2:6">
      <c r="B2593" s="20" t="s">
        <v>191</v>
      </c>
      <c r="C2593" s="21" t="s">
        <v>43</v>
      </c>
      <c r="D2593" s="21">
        <v>6.0000000000000001E-3</v>
      </c>
      <c r="E2593" s="22">
        <v>38000</v>
      </c>
      <c r="F2593" s="22">
        <f t="shared" si="42"/>
        <v>228</v>
      </c>
    </row>
    <row r="2594" spans="2:6">
      <c r="B2594" s="20" t="s">
        <v>192</v>
      </c>
      <c r="C2594" s="21" t="s">
        <v>43</v>
      </c>
      <c r="D2594" s="21">
        <v>6.0000000000000001E-3</v>
      </c>
      <c r="E2594" s="22">
        <v>52000</v>
      </c>
      <c r="F2594" s="22">
        <f t="shared" si="42"/>
        <v>312</v>
      </c>
    </row>
    <row r="2595" spans="2:6">
      <c r="B2595" s="20" t="s">
        <v>193</v>
      </c>
      <c r="C2595" s="21" t="s">
        <v>43</v>
      </c>
      <c r="D2595" s="21">
        <v>7.4000000000000003E-3</v>
      </c>
      <c r="E2595" s="22">
        <v>37000</v>
      </c>
      <c r="F2595" s="22">
        <f t="shared" si="42"/>
        <v>273.8</v>
      </c>
    </row>
    <row r="2596" spans="2:6" ht="17" thickBot="1">
      <c r="B2596" s="6" t="s">
        <v>19</v>
      </c>
      <c r="C2596" s="8"/>
      <c r="D2596" s="8"/>
      <c r="E2596" s="8"/>
      <c r="F2596" s="23">
        <f>SUM(F2585:F2591)</f>
        <v>2489</v>
      </c>
    </row>
    <row r="2597" spans="2:6" ht="17" thickBot="1">
      <c r="B2597" s="8"/>
      <c r="C2597" s="8"/>
      <c r="D2597" s="8"/>
      <c r="E2597" s="8"/>
    </row>
    <row r="2598" spans="2:6" ht="15" thickTop="1" thickBot="1">
      <c r="B2598" s="16" t="s">
        <v>20</v>
      </c>
      <c r="C2598" s="17" t="s">
        <v>14</v>
      </c>
      <c r="D2598" s="17" t="s">
        <v>15</v>
      </c>
      <c r="E2598" s="17" t="s">
        <v>16</v>
      </c>
      <c r="F2598" s="18" t="s">
        <v>17</v>
      </c>
    </row>
    <row r="2599" spans="2:6" ht="17" thickTop="1">
      <c r="B2599" s="8"/>
      <c r="C2599" s="8"/>
      <c r="D2599" s="8"/>
      <c r="E2599" s="8"/>
    </row>
    <row r="2600" spans="2:6">
      <c r="B2600" s="24" t="s">
        <v>194</v>
      </c>
      <c r="C2600" s="20" t="s">
        <v>22</v>
      </c>
      <c r="D2600" s="20">
        <v>4.4999999999999997E-3</v>
      </c>
      <c r="E2600" s="22">
        <v>35000</v>
      </c>
      <c r="F2600" s="25">
        <f>E2600*D2600</f>
        <v>157.5</v>
      </c>
    </row>
    <row r="2601" spans="2:6">
      <c r="B2601" s="20" t="s">
        <v>23</v>
      </c>
      <c r="C2601" s="20" t="s">
        <v>22</v>
      </c>
      <c r="D2601" s="20">
        <v>4.4999999999999997E-3</v>
      </c>
      <c r="E2601" s="22">
        <v>15000</v>
      </c>
      <c r="F2601" s="25">
        <f>E2601*D2601</f>
        <v>67.5</v>
      </c>
    </row>
    <row r="2602" spans="2:6" ht="16">
      <c r="B2602" s="26"/>
      <c r="C2602" s="26"/>
      <c r="D2602" s="26"/>
      <c r="E2602" s="26"/>
      <c r="F2602" s="25">
        <f>E2602*D2602</f>
        <v>0</v>
      </c>
    </row>
    <row r="2603" spans="2:6" ht="16">
      <c r="B2603" s="26"/>
      <c r="C2603" s="26"/>
      <c r="D2603" s="26"/>
      <c r="E2603" s="26"/>
      <c r="F2603" s="25">
        <f>E2603*D2603</f>
        <v>0</v>
      </c>
    </row>
    <row r="2604" spans="2:6" ht="16">
      <c r="B2604" s="27" t="s">
        <v>25</v>
      </c>
      <c r="C2604" s="27" t="s">
        <v>26</v>
      </c>
      <c r="D2604" s="28">
        <v>0.32</v>
      </c>
      <c r="E2604" s="29">
        <f>SUM(E2600:E2603)*D2604</f>
        <v>16000</v>
      </c>
      <c r="F2604" s="25">
        <f>E2604*0.032</f>
        <v>512</v>
      </c>
    </row>
    <row r="2605" spans="2:6" ht="16">
      <c r="B2605" s="8"/>
      <c r="C2605" s="8"/>
      <c r="D2605" s="8"/>
      <c r="E2605" s="8"/>
    </row>
    <row r="2606" spans="2:6" ht="17" thickBot="1">
      <c r="B2606" s="6" t="s">
        <v>27</v>
      </c>
      <c r="C2606" s="8"/>
      <c r="D2606" s="8"/>
      <c r="E2606" s="8"/>
      <c r="F2606" s="23">
        <f>SUM(F2600:F2605)</f>
        <v>737</v>
      </c>
    </row>
    <row r="2607" spans="2:6" ht="17" thickBot="1">
      <c r="B2607" s="8"/>
      <c r="C2607" s="8"/>
      <c r="D2607" s="8"/>
      <c r="E2607" s="8"/>
    </row>
    <row r="2608" spans="2:6" ht="15" thickTop="1" thickBot="1">
      <c r="B2608" s="16" t="s">
        <v>28</v>
      </c>
      <c r="C2608" s="17" t="s">
        <v>14</v>
      </c>
      <c r="D2608" s="17" t="s">
        <v>15</v>
      </c>
      <c r="E2608" s="17" t="s">
        <v>16</v>
      </c>
      <c r="F2608" s="18" t="s">
        <v>17</v>
      </c>
    </row>
    <row r="2609" spans="2:6" ht="17" thickTop="1">
      <c r="B2609" s="8"/>
      <c r="C2609" s="8"/>
      <c r="D2609" s="8"/>
      <c r="E2609" s="8"/>
    </row>
    <row r="2610" spans="2:6">
      <c r="B2610" s="20" t="s">
        <v>195</v>
      </c>
      <c r="C2610" s="20" t="s">
        <v>30</v>
      </c>
      <c r="D2610" s="71">
        <v>2E-3</v>
      </c>
      <c r="E2610" s="22">
        <v>35000</v>
      </c>
      <c r="F2610" s="25">
        <f>E2610*D2610</f>
        <v>70</v>
      </c>
    </row>
    <row r="2611" spans="2:6">
      <c r="B2611" s="20" t="s">
        <v>196</v>
      </c>
      <c r="C2611" s="20" t="s">
        <v>30</v>
      </c>
      <c r="D2611" s="71">
        <v>1E-3</v>
      </c>
      <c r="E2611" s="22">
        <v>65000</v>
      </c>
      <c r="F2611" s="25">
        <f>E2611*D2611</f>
        <v>65</v>
      </c>
    </row>
    <row r="2612" spans="2:6">
      <c r="B2612" s="20"/>
      <c r="C2612" s="20" t="s">
        <v>32</v>
      </c>
      <c r="D2612" s="68"/>
      <c r="E2612" s="22"/>
      <c r="F2612" s="25">
        <f>E2612*D2612</f>
        <v>0</v>
      </c>
    </row>
    <row r="2613" spans="2:6">
      <c r="B2613" s="20"/>
      <c r="C2613" s="20" t="s">
        <v>32</v>
      </c>
      <c r="D2613" s="68"/>
      <c r="E2613" s="22"/>
      <c r="F2613" s="25">
        <f>E2613*D2613</f>
        <v>0</v>
      </c>
    </row>
    <row r="2614" spans="2:6" ht="16">
      <c r="B2614" s="30"/>
      <c r="C2614" s="26"/>
      <c r="D2614" s="26"/>
      <c r="E2614" s="26"/>
      <c r="F2614" s="25">
        <f>E2614*D2614</f>
        <v>0</v>
      </c>
    </row>
    <row r="2615" spans="2:6" ht="16">
      <c r="B2615" s="8"/>
      <c r="C2615" s="8"/>
      <c r="D2615" s="8"/>
      <c r="E2615" s="8"/>
    </row>
    <row r="2616" spans="2:6" ht="14" thickBot="1">
      <c r="B2616" s="19" t="s">
        <v>33</v>
      </c>
      <c r="C2616" s="19"/>
      <c r="D2616" s="19"/>
      <c r="E2616" s="19"/>
      <c r="F2616" s="23">
        <f>SUM(F2610:F2615)</f>
        <v>135</v>
      </c>
    </row>
    <row r="2617" spans="2:6" ht="16">
      <c r="B2617" s="8"/>
      <c r="C2617" s="8"/>
      <c r="D2617" s="8"/>
      <c r="E2617" s="8"/>
    </row>
    <row r="2618" spans="2:6" ht="17" thickBot="1">
      <c r="B2618" s="8"/>
      <c r="C2618" s="8"/>
      <c r="D2618" s="8"/>
      <c r="E2618" s="8"/>
    </row>
    <row r="2619" spans="2:6" ht="17" thickBot="1">
      <c r="B2619" s="31" t="s">
        <v>34</v>
      </c>
      <c r="C2619" s="13"/>
      <c r="D2619" s="13"/>
      <c r="E2619" s="13"/>
      <c r="F2619" s="32">
        <f>F2596+F2606+F2616</f>
        <v>3361</v>
      </c>
    </row>
    <row r="2620" spans="2:6" ht="17" thickBot="1">
      <c r="B2620" s="31" t="s">
        <v>35</v>
      </c>
      <c r="C2620" s="13"/>
      <c r="D2620" s="13"/>
      <c r="E2620" s="33">
        <v>0.1</v>
      </c>
      <c r="F2620" s="32">
        <f>F2619*E2620</f>
        <v>336.1</v>
      </c>
    </row>
    <row r="2621" spans="2:6" ht="17" thickBot="1">
      <c r="B2621" s="31" t="s">
        <v>36</v>
      </c>
      <c r="C2621" s="13"/>
      <c r="D2621" s="13"/>
      <c r="E2621" s="33">
        <v>0.1</v>
      </c>
      <c r="F2621" s="32">
        <f>F2619*E2621</f>
        <v>336.1</v>
      </c>
    </row>
    <row r="2622" spans="2:6" ht="17" thickBot="1">
      <c r="B2622" s="34" t="s">
        <v>37</v>
      </c>
      <c r="C2622" s="35"/>
      <c r="D2622" s="35"/>
      <c r="E2622" s="35"/>
      <c r="F2622" s="32">
        <f>SUM(F2619:F2621)</f>
        <v>4033.2</v>
      </c>
    </row>
    <row r="2623" spans="2:6" ht="17" thickBot="1">
      <c r="B2623" s="36"/>
      <c r="C2623" s="8"/>
      <c r="D2623" s="8"/>
      <c r="E2623" s="8"/>
    </row>
    <row r="2624" spans="2:6" ht="18" thickTop="1" thickBot="1">
      <c r="B2624" s="37" t="s">
        <v>38</v>
      </c>
      <c r="C2624" s="8"/>
      <c r="D2624" s="8"/>
      <c r="E2624" s="8"/>
    </row>
    <row r="2625" spans="2:6" ht="18" thickTop="1" thickBot="1">
      <c r="B2625" s="8"/>
      <c r="C2625" s="8"/>
      <c r="D2625" s="8"/>
      <c r="E2625" s="8"/>
    </row>
    <row r="2626" spans="2:6" ht="17" thickTop="1">
      <c r="B2626" s="38"/>
      <c r="C2626" s="13"/>
      <c r="D2626" s="13"/>
      <c r="E2626" s="39"/>
      <c r="F2626" s="40"/>
    </row>
    <row r="2627" spans="2:6" ht="16">
      <c r="B2627" s="38"/>
      <c r="C2627" s="13"/>
      <c r="D2627" s="13"/>
      <c r="E2627" s="41"/>
      <c r="F2627" s="42"/>
    </row>
    <row r="2628" spans="2:6" ht="16">
      <c r="B2628" s="38"/>
      <c r="C2628" s="13"/>
      <c r="D2628" s="13"/>
      <c r="E2628" s="41"/>
      <c r="F2628" s="42"/>
    </row>
    <row r="2629" spans="2:6" ht="17" thickBot="1">
      <c r="B2629" s="54"/>
      <c r="C2629" s="35"/>
      <c r="D2629" s="35"/>
      <c r="E2629" s="44"/>
      <c r="F2629" s="45"/>
    </row>
    <row r="2630" spans="2:6" ht="17" thickTop="1">
      <c r="B2630" s="46"/>
      <c r="C2630" s="46"/>
      <c r="D2630" s="46"/>
      <c r="E2630" s="47"/>
      <c r="F2630" s="47"/>
    </row>
    <row r="2631" spans="2:6" ht="14" thickBot="1">
      <c r="B2631" s="1" t="s">
        <v>0</v>
      </c>
      <c r="C2631" s="1"/>
    </row>
    <row r="2632" spans="2:6" ht="17" thickBot="1">
      <c r="B2632" s="1" t="s">
        <v>1</v>
      </c>
      <c r="C2632" s="1"/>
      <c r="E2632" s="4" t="s">
        <v>2</v>
      </c>
      <c r="F2632" s="5"/>
    </row>
    <row r="2633" spans="2:6">
      <c r="B2633" s="6"/>
    </row>
    <row r="2634" spans="2:6" ht="16">
      <c r="B2634" s="7" t="s">
        <v>3</v>
      </c>
      <c r="C2634" s="7"/>
      <c r="D2634" s="7"/>
      <c r="E2634" s="7"/>
      <c r="F2634" s="7"/>
    </row>
    <row r="2635" spans="2:6" ht="16">
      <c r="B2635" s="8"/>
      <c r="C2635" s="8"/>
      <c r="D2635" s="8"/>
      <c r="E2635" s="8"/>
    </row>
    <row r="2636" spans="2:6" ht="16">
      <c r="B2636" s="9" t="s">
        <v>4</v>
      </c>
      <c r="C2636" s="13" t="str">
        <f>C2751</f>
        <v>MEJORAMIENTO ESPACIO PUBLICO JJVV LUCILA GODOY ALCAYAGA</v>
      </c>
      <c r="D2636" s="13"/>
      <c r="E2636" s="13"/>
      <c r="F2636" s="14"/>
    </row>
    <row r="2637" spans="2:6" ht="16">
      <c r="B2637" s="12"/>
      <c r="C2637" s="8"/>
      <c r="D2637" s="8"/>
      <c r="E2637" s="8"/>
    </row>
    <row r="2638" spans="2:6" ht="16">
      <c r="B2638" s="9" t="s">
        <v>5</v>
      </c>
      <c r="C2638" s="13" t="s">
        <v>6</v>
      </c>
      <c r="D2638" s="13"/>
      <c r="E2638" s="13"/>
      <c r="F2638" s="14"/>
    </row>
    <row r="2639" spans="2:6" ht="16">
      <c r="B2639" s="9"/>
      <c r="C2639" s="13"/>
      <c r="D2639" s="13"/>
      <c r="E2639" s="13"/>
      <c r="F2639" s="14"/>
    </row>
    <row r="2640" spans="2:6" ht="16">
      <c r="B2640" s="9" t="s">
        <v>7</v>
      </c>
      <c r="C2640" s="13" t="str">
        <f>[1]LGA!A67</f>
        <v>3.2.2</v>
      </c>
      <c r="D2640" s="13"/>
      <c r="E2640" s="13"/>
      <c r="F2640" s="14"/>
    </row>
    <row r="2641" spans="2:6" ht="16">
      <c r="B2641" s="9" t="s">
        <v>8</v>
      </c>
      <c r="C2641" s="13" t="s">
        <v>197</v>
      </c>
      <c r="D2641" s="13"/>
      <c r="E2641" s="13"/>
      <c r="F2641" s="14"/>
    </row>
    <row r="2642" spans="2:6" ht="16">
      <c r="B2642" s="9" t="s">
        <v>10</v>
      </c>
      <c r="C2642" s="13" t="s">
        <v>95</v>
      </c>
      <c r="D2642" s="13"/>
      <c r="E2642" s="13"/>
      <c r="F2642" s="14"/>
    </row>
    <row r="2643" spans="2:6" ht="16">
      <c r="B2643" s="9" t="s">
        <v>12</v>
      </c>
      <c r="C2643" s="15">
        <f>C2758</f>
        <v>46024</v>
      </c>
      <c r="D2643" s="13"/>
      <c r="E2643" s="13"/>
      <c r="F2643" s="14"/>
    </row>
    <row r="2644" spans="2:6" ht="17" thickBot="1">
      <c r="B2644" s="8"/>
      <c r="C2644" s="8"/>
      <c r="D2644" s="8"/>
      <c r="E2644" s="8"/>
    </row>
    <row r="2645" spans="2:6" ht="15" thickTop="1" thickBot="1">
      <c r="B2645" s="16" t="s">
        <v>13</v>
      </c>
      <c r="C2645" s="17" t="s">
        <v>14</v>
      </c>
      <c r="D2645" s="17" t="s">
        <v>15</v>
      </c>
      <c r="E2645" s="17" t="s">
        <v>16</v>
      </c>
      <c r="F2645" s="18" t="s">
        <v>17</v>
      </c>
    </row>
    <row r="2646" spans="2:6" ht="14" thickTop="1">
      <c r="B2646" s="19"/>
      <c r="C2646" s="19"/>
      <c r="D2646" s="19"/>
      <c r="E2646" s="19"/>
      <c r="F2646" s="19"/>
    </row>
    <row r="2647" spans="2:6">
      <c r="B2647" s="20" t="s">
        <v>198</v>
      </c>
      <c r="C2647" s="21" t="s">
        <v>43</v>
      </c>
      <c r="D2647" s="21">
        <v>2.5000000000000001E-2</v>
      </c>
      <c r="E2647" s="22">
        <v>165000</v>
      </c>
      <c r="F2647" s="22">
        <f t="shared" ref="F2647:F2652" si="43">E2647*D2647</f>
        <v>4125</v>
      </c>
    </row>
    <row r="2648" spans="2:6">
      <c r="B2648" s="20"/>
      <c r="C2648" s="21"/>
      <c r="D2648" s="21"/>
      <c r="E2648" s="22"/>
      <c r="F2648" s="22">
        <f t="shared" si="43"/>
        <v>0</v>
      </c>
    </row>
    <row r="2649" spans="2:6">
      <c r="B2649" s="20"/>
      <c r="C2649" s="21"/>
      <c r="D2649" s="21"/>
      <c r="E2649" s="22"/>
      <c r="F2649" s="22">
        <f t="shared" si="43"/>
        <v>0</v>
      </c>
    </row>
    <row r="2650" spans="2:6">
      <c r="B2650" s="20"/>
      <c r="C2650" s="21"/>
      <c r="D2650" s="21"/>
      <c r="E2650" s="22"/>
      <c r="F2650" s="22">
        <f t="shared" si="43"/>
        <v>0</v>
      </c>
    </row>
    <row r="2651" spans="2:6">
      <c r="B2651" s="20"/>
      <c r="C2651" s="21"/>
      <c r="D2651" s="21"/>
      <c r="E2651" s="22"/>
      <c r="F2651" s="22">
        <f t="shared" si="43"/>
        <v>0</v>
      </c>
    </row>
    <row r="2652" spans="2:6">
      <c r="B2652" s="20"/>
      <c r="C2652" s="21"/>
      <c r="D2652" s="21"/>
      <c r="E2652" s="22"/>
      <c r="F2652" s="22">
        <f t="shared" si="43"/>
        <v>0</v>
      </c>
    </row>
    <row r="2653" spans="2:6" ht="17" thickBot="1">
      <c r="B2653" s="6" t="s">
        <v>19</v>
      </c>
      <c r="C2653" s="8"/>
      <c r="D2653" s="8"/>
      <c r="E2653" s="8"/>
      <c r="F2653" s="23">
        <f>SUM(F2647:F2652)</f>
        <v>4125</v>
      </c>
    </row>
    <row r="2654" spans="2:6" ht="17" thickBot="1">
      <c r="B2654" s="8"/>
      <c r="C2654" s="8"/>
      <c r="D2654" s="8"/>
      <c r="E2654" s="8"/>
    </row>
    <row r="2655" spans="2:6" ht="15" thickTop="1" thickBot="1">
      <c r="B2655" s="16" t="s">
        <v>20</v>
      </c>
      <c r="C2655" s="17" t="s">
        <v>14</v>
      </c>
      <c r="D2655" s="17" t="s">
        <v>15</v>
      </c>
      <c r="E2655" s="17" t="s">
        <v>16</v>
      </c>
      <c r="F2655" s="18" t="s">
        <v>17</v>
      </c>
    </row>
    <row r="2656" spans="2:6" ht="17" thickTop="1">
      <c r="B2656" s="8"/>
      <c r="C2656" s="8"/>
      <c r="D2656" s="8"/>
      <c r="E2656" s="8"/>
    </row>
    <row r="2657" spans="2:6">
      <c r="B2657" s="24" t="s">
        <v>21</v>
      </c>
      <c r="C2657" s="20" t="s">
        <v>22</v>
      </c>
      <c r="D2657" s="20">
        <v>4.3999999999999997E-2</v>
      </c>
      <c r="E2657" s="22">
        <v>27500</v>
      </c>
      <c r="F2657" s="25">
        <f>E2657*D2657</f>
        <v>1210</v>
      </c>
    </row>
    <row r="2658" spans="2:6">
      <c r="B2658" s="20" t="s">
        <v>23</v>
      </c>
      <c r="C2658" s="20" t="s">
        <v>22</v>
      </c>
      <c r="D2658" s="20">
        <v>4.3999999999999997E-2</v>
      </c>
      <c r="E2658" s="22">
        <v>15000</v>
      </c>
      <c r="F2658" s="25">
        <f>E2658*D2658</f>
        <v>660</v>
      </c>
    </row>
    <row r="2659" spans="2:6" ht="16">
      <c r="B2659" s="26"/>
      <c r="C2659" s="26"/>
      <c r="D2659" s="26"/>
      <c r="E2659" s="26"/>
      <c r="F2659" s="25">
        <f>E2659*D2659</f>
        <v>0</v>
      </c>
    </row>
    <row r="2660" spans="2:6" ht="16">
      <c r="B2660" s="26"/>
      <c r="C2660" s="26"/>
      <c r="D2660" s="26"/>
      <c r="E2660" s="26"/>
      <c r="F2660" s="25">
        <f>E2660*D2660</f>
        <v>0</v>
      </c>
    </row>
    <row r="2661" spans="2:6" ht="16">
      <c r="B2661" s="27" t="s">
        <v>25</v>
      </c>
      <c r="C2661" s="27" t="s">
        <v>26</v>
      </c>
      <c r="D2661" s="28">
        <v>0.32</v>
      </c>
      <c r="E2661" s="29">
        <f>SUM(E2657:E2660)*D2661</f>
        <v>13600</v>
      </c>
      <c r="F2661" s="25">
        <f>E2661*D2661</f>
        <v>4352</v>
      </c>
    </row>
    <row r="2662" spans="2:6" ht="16">
      <c r="B2662" s="8"/>
      <c r="C2662" s="8"/>
      <c r="D2662" s="8"/>
      <c r="E2662" s="8"/>
    </row>
    <row r="2663" spans="2:6" ht="17" thickBot="1">
      <c r="B2663" s="6" t="s">
        <v>27</v>
      </c>
      <c r="C2663" s="8"/>
      <c r="D2663" s="8"/>
      <c r="E2663" s="8"/>
      <c r="F2663" s="23">
        <f>SUM(F2657:F2662)</f>
        <v>6222</v>
      </c>
    </row>
    <row r="2664" spans="2:6" ht="17" thickBot="1">
      <c r="B2664" s="8"/>
      <c r="C2664" s="8"/>
      <c r="D2664" s="8"/>
      <c r="E2664" s="8"/>
    </row>
    <row r="2665" spans="2:6" ht="15" thickTop="1" thickBot="1">
      <c r="B2665" s="16" t="s">
        <v>28</v>
      </c>
      <c r="C2665" s="17" t="s">
        <v>14</v>
      </c>
      <c r="D2665" s="17" t="s">
        <v>15</v>
      </c>
      <c r="E2665" s="17" t="s">
        <v>16</v>
      </c>
      <c r="F2665" s="18" t="s">
        <v>17</v>
      </c>
    </row>
    <row r="2666" spans="2:6" ht="17" thickTop="1">
      <c r="B2666" s="8"/>
      <c r="C2666" s="8"/>
      <c r="D2666" s="8"/>
      <c r="E2666" s="8"/>
    </row>
    <row r="2667" spans="2:6">
      <c r="B2667" s="20"/>
      <c r="C2667" s="20"/>
      <c r="D2667" s="20"/>
      <c r="E2667" s="22"/>
      <c r="F2667" s="25">
        <f>E2667*D2667</f>
        <v>0</v>
      </c>
    </row>
    <row r="2668" spans="2:6">
      <c r="B2668" s="20" t="s">
        <v>31</v>
      </c>
      <c r="C2668" s="20" t="s">
        <v>32</v>
      </c>
      <c r="D2668" s="68">
        <v>0.4</v>
      </c>
      <c r="E2668" s="22">
        <v>25000</v>
      </c>
      <c r="F2668" s="25">
        <f>E2668*D2668</f>
        <v>10000</v>
      </c>
    </row>
    <row r="2669" spans="2:6" ht="16">
      <c r="B2669" s="26"/>
      <c r="C2669" s="26"/>
      <c r="D2669" s="26"/>
      <c r="E2669" s="26"/>
      <c r="F2669" s="25">
        <f>E2669*D2669</f>
        <v>0</v>
      </c>
    </row>
    <row r="2670" spans="2:6" ht="16">
      <c r="B2670" s="26"/>
      <c r="C2670" s="26"/>
      <c r="D2670" s="26"/>
      <c r="E2670" s="26"/>
      <c r="F2670" s="25">
        <f>E2670*D2670</f>
        <v>0</v>
      </c>
    </row>
    <row r="2671" spans="2:6" ht="16">
      <c r="B2671" s="30"/>
      <c r="C2671" s="26"/>
      <c r="D2671" s="26"/>
      <c r="E2671" s="26"/>
      <c r="F2671" s="25">
        <f>E2671*D2671</f>
        <v>0</v>
      </c>
    </row>
    <row r="2672" spans="2:6" ht="16">
      <c r="B2672" s="8"/>
      <c r="C2672" s="8"/>
      <c r="D2672" s="8"/>
      <c r="E2672" s="8"/>
    </row>
    <row r="2673" spans="2:6" ht="14" thickBot="1">
      <c r="B2673" s="19" t="s">
        <v>33</v>
      </c>
      <c r="C2673" s="19"/>
      <c r="D2673" s="19"/>
      <c r="E2673" s="19"/>
      <c r="F2673" s="23">
        <f>SUM(F2667:F2672)</f>
        <v>10000</v>
      </c>
    </row>
    <row r="2674" spans="2:6" ht="16">
      <c r="B2674" s="8"/>
      <c r="C2674" s="8"/>
      <c r="D2674" s="8"/>
      <c r="E2674" s="8"/>
    </row>
    <row r="2675" spans="2:6" ht="17" thickBot="1">
      <c r="B2675" s="8"/>
      <c r="C2675" s="8"/>
      <c r="D2675" s="8"/>
      <c r="E2675" s="8"/>
    </row>
    <row r="2676" spans="2:6" ht="17" thickBot="1">
      <c r="B2676" s="31" t="s">
        <v>34</v>
      </c>
      <c r="C2676" s="13"/>
      <c r="D2676" s="13"/>
      <c r="E2676" s="13"/>
      <c r="F2676" s="32">
        <f>F2653+F2663+F2673</f>
        <v>20347</v>
      </c>
    </row>
    <row r="2677" spans="2:6" ht="17" thickBot="1">
      <c r="B2677" s="31" t="s">
        <v>35</v>
      </c>
      <c r="C2677" s="13"/>
      <c r="D2677" s="13"/>
      <c r="E2677" s="33">
        <v>0.1</v>
      </c>
      <c r="F2677" s="32">
        <f>F2676*E2677</f>
        <v>2034.7</v>
      </c>
    </row>
    <row r="2678" spans="2:6" ht="17" thickBot="1">
      <c r="B2678" s="31" t="s">
        <v>36</v>
      </c>
      <c r="C2678" s="13"/>
      <c r="D2678" s="13"/>
      <c r="E2678" s="33">
        <v>0.1</v>
      </c>
      <c r="F2678" s="32">
        <f>F2676*E2678</f>
        <v>2034.7</v>
      </c>
    </row>
    <row r="2679" spans="2:6" ht="17" thickBot="1">
      <c r="B2679" s="34" t="s">
        <v>37</v>
      </c>
      <c r="C2679" s="35"/>
      <c r="D2679" s="35"/>
      <c r="E2679" s="35"/>
      <c r="F2679" s="32">
        <f>SUM(F2676:F2678)</f>
        <v>24416.400000000001</v>
      </c>
    </row>
    <row r="2680" spans="2:6" ht="17" thickBot="1">
      <c r="B2680" s="36"/>
      <c r="C2680" s="8"/>
      <c r="D2680" s="8"/>
      <c r="E2680" s="8"/>
    </row>
    <row r="2681" spans="2:6" ht="18" thickTop="1" thickBot="1">
      <c r="B2681" s="37" t="s">
        <v>38</v>
      </c>
      <c r="C2681" s="8"/>
      <c r="D2681" s="8"/>
      <c r="E2681" s="8"/>
    </row>
    <row r="2682" spans="2:6" ht="18" thickTop="1" thickBot="1">
      <c r="B2682" s="8"/>
      <c r="C2682" s="8"/>
      <c r="D2682" s="8"/>
      <c r="E2682" s="8"/>
    </row>
    <row r="2683" spans="2:6" ht="17" thickTop="1">
      <c r="B2683" s="38"/>
      <c r="C2683" s="13"/>
      <c r="D2683" s="13"/>
      <c r="E2683" s="39"/>
      <c r="F2683" s="40"/>
    </row>
    <row r="2684" spans="2:6" ht="16">
      <c r="B2684" s="38"/>
      <c r="C2684" s="13"/>
      <c r="D2684" s="13"/>
      <c r="E2684" s="41"/>
      <c r="F2684" s="42"/>
    </row>
    <row r="2685" spans="2:6" ht="16">
      <c r="B2685" s="38"/>
      <c r="C2685" s="13"/>
      <c r="D2685" s="13"/>
      <c r="E2685" s="41"/>
      <c r="F2685" s="42"/>
    </row>
    <row r="2686" spans="2:6" ht="17" thickBot="1">
      <c r="B2686" s="54"/>
      <c r="C2686" s="35"/>
      <c r="D2686" s="35"/>
      <c r="E2686" s="44"/>
      <c r="F2686" s="45"/>
    </row>
    <row r="2687" spans="2:6" ht="17" thickTop="1">
      <c r="B2687" s="46"/>
      <c r="C2687" s="46"/>
      <c r="D2687" s="46"/>
      <c r="E2687" s="47"/>
      <c r="F2687" s="47"/>
    </row>
    <row r="2688" spans="2:6" ht="14" thickBot="1">
      <c r="B2688" s="1" t="s">
        <v>0</v>
      </c>
      <c r="C2688" s="1"/>
    </row>
    <row r="2689" spans="2:6" ht="17" thickBot="1">
      <c r="B2689" s="1" t="s">
        <v>1</v>
      </c>
      <c r="C2689" s="1"/>
      <c r="E2689" s="4" t="s">
        <v>2</v>
      </c>
      <c r="F2689" s="5"/>
    </row>
    <row r="2690" spans="2:6">
      <c r="B2690" s="6"/>
    </row>
    <row r="2691" spans="2:6" ht="16">
      <c r="B2691" s="7" t="s">
        <v>3</v>
      </c>
      <c r="C2691" s="7"/>
      <c r="D2691" s="7"/>
      <c r="E2691" s="7"/>
      <c r="F2691" s="7"/>
    </row>
    <row r="2692" spans="2:6" ht="16">
      <c r="B2692" s="8"/>
      <c r="C2692" s="8"/>
      <c r="D2692" s="8"/>
      <c r="E2692" s="8"/>
    </row>
    <row r="2693" spans="2:6" ht="16">
      <c r="B2693" s="9" t="s">
        <v>4</v>
      </c>
      <c r="C2693" s="13" t="str">
        <f>C2636</f>
        <v>MEJORAMIENTO ESPACIO PUBLICO JJVV LUCILA GODOY ALCAYAGA</v>
      </c>
      <c r="D2693" s="13"/>
      <c r="E2693" s="13"/>
      <c r="F2693" s="14"/>
    </row>
    <row r="2694" spans="2:6" ht="16">
      <c r="B2694" s="12"/>
      <c r="C2694" s="8"/>
      <c r="D2694" s="8"/>
      <c r="E2694" s="8"/>
    </row>
    <row r="2695" spans="2:6" ht="16">
      <c r="B2695" s="9" t="s">
        <v>5</v>
      </c>
      <c r="C2695" s="13" t="s">
        <v>6</v>
      </c>
      <c r="D2695" s="13"/>
      <c r="E2695" s="13"/>
      <c r="F2695" s="14"/>
    </row>
    <row r="2696" spans="2:6" ht="16">
      <c r="B2696" s="9"/>
      <c r="C2696" s="13"/>
      <c r="D2696" s="13"/>
      <c r="E2696" s="13"/>
      <c r="F2696" s="14"/>
    </row>
    <row r="2697" spans="2:6" ht="16">
      <c r="B2697" s="9" t="s">
        <v>7</v>
      </c>
      <c r="C2697" s="13" t="str">
        <f>[1]LGA!A68</f>
        <v>3.2.3</v>
      </c>
      <c r="D2697" s="13"/>
      <c r="E2697" s="13"/>
      <c r="F2697" s="14"/>
    </row>
    <row r="2698" spans="2:6" ht="16">
      <c r="B2698" s="9" t="s">
        <v>8</v>
      </c>
      <c r="C2698" s="13" t="s">
        <v>199</v>
      </c>
      <c r="D2698" s="13"/>
      <c r="E2698" s="13"/>
      <c r="F2698" s="14"/>
    </row>
    <row r="2699" spans="2:6" ht="16">
      <c r="B2699" s="9" t="s">
        <v>10</v>
      </c>
      <c r="C2699" s="13" t="s">
        <v>102</v>
      </c>
      <c r="D2699" s="13"/>
      <c r="E2699" s="13"/>
      <c r="F2699" s="14"/>
    </row>
    <row r="2700" spans="2:6" ht="16">
      <c r="B2700" s="9" t="s">
        <v>12</v>
      </c>
      <c r="C2700" s="15">
        <f>C2643</f>
        <v>46024</v>
      </c>
      <c r="D2700" s="13"/>
      <c r="E2700" s="13"/>
      <c r="F2700" s="14"/>
    </row>
    <row r="2701" spans="2:6" ht="17" thickBot="1">
      <c r="B2701" s="8"/>
      <c r="C2701" s="8"/>
      <c r="D2701" s="8"/>
      <c r="E2701" s="8"/>
    </row>
    <row r="2702" spans="2:6" ht="15" thickTop="1" thickBot="1">
      <c r="B2702" s="16" t="s">
        <v>13</v>
      </c>
      <c r="C2702" s="17" t="s">
        <v>14</v>
      </c>
      <c r="D2702" s="17" t="s">
        <v>15</v>
      </c>
      <c r="E2702" s="17" t="s">
        <v>16</v>
      </c>
      <c r="F2702" s="18" t="s">
        <v>17</v>
      </c>
    </row>
    <row r="2703" spans="2:6" ht="14" thickTop="1">
      <c r="B2703" s="19"/>
      <c r="C2703" s="19"/>
      <c r="D2703" s="19"/>
      <c r="E2703" s="19"/>
      <c r="F2703" s="19"/>
    </row>
    <row r="2704" spans="2:6">
      <c r="B2704" s="20" t="s">
        <v>200</v>
      </c>
      <c r="C2704" s="21" t="s">
        <v>43</v>
      </c>
      <c r="D2704" s="21">
        <v>1</v>
      </c>
      <c r="E2704" s="22">
        <v>95000</v>
      </c>
      <c r="F2704" s="22">
        <f t="shared" ref="F2704:F2709" si="44">E2704*D2704</f>
        <v>95000</v>
      </c>
    </row>
    <row r="2705" spans="2:6">
      <c r="B2705" s="20"/>
      <c r="C2705" s="21"/>
      <c r="D2705" s="21"/>
      <c r="E2705" s="22"/>
      <c r="F2705" s="22">
        <f t="shared" si="44"/>
        <v>0</v>
      </c>
    </row>
    <row r="2706" spans="2:6">
      <c r="B2706" s="20"/>
      <c r="C2706" s="21"/>
      <c r="D2706" s="21"/>
      <c r="E2706" s="22"/>
      <c r="F2706" s="22">
        <f t="shared" si="44"/>
        <v>0</v>
      </c>
    </row>
    <row r="2707" spans="2:6">
      <c r="B2707" s="20"/>
      <c r="C2707" s="21"/>
      <c r="D2707" s="21"/>
      <c r="E2707" s="22"/>
      <c r="F2707" s="22">
        <f t="shared" si="44"/>
        <v>0</v>
      </c>
    </row>
    <row r="2708" spans="2:6">
      <c r="B2708" s="20"/>
      <c r="C2708" s="21"/>
      <c r="D2708" s="21"/>
      <c r="E2708" s="22"/>
      <c r="F2708" s="22">
        <f t="shared" si="44"/>
        <v>0</v>
      </c>
    </row>
    <row r="2709" spans="2:6">
      <c r="B2709" s="20"/>
      <c r="C2709" s="21"/>
      <c r="D2709" s="21"/>
      <c r="E2709" s="22"/>
      <c r="F2709" s="22">
        <f t="shared" si="44"/>
        <v>0</v>
      </c>
    </row>
    <row r="2710" spans="2:6" ht="17" thickBot="1">
      <c r="B2710" s="6" t="s">
        <v>19</v>
      </c>
      <c r="C2710" s="8"/>
      <c r="D2710" s="8"/>
      <c r="E2710" s="8"/>
      <c r="F2710" s="23">
        <f>SUM(F2704:F2709)</f>
        <v>95000</v>
      </c>
    </row>
    <row r="2711" spans="2:6" ht="17" thickBot="1">
      <c r="B2711" s="8"/>
      <c r="C2711" s="8"/>
      <c r="D2711" s="8"/>
      <c r="E2711" s="8"/>
    </row>
    <row r="2712" spans="2:6" ht="15" thickTop="1" thickBot="1">
      <c r="B2712" s="16" t="s">
        <v>20</v>
      </c>
      <c r="C2712" s="17" t="s">
        <v>14</v>
      </c>
      <c r="D2712" s="17" t="s">
        <v>15</v>
      </c>
      <c r="E2712" s="17" t="s">
        <v>16</v>
      </c>
      <c r="F2712" s="18" t="s">
        <v>17</v>
      </c>
    </row>
    <row r="2713" spans="2:6" ht="17" thickTop="1">
      <c r="B2713" s="8"/>
      <c r="C2713" s="8"/>
      <c r="D2713" s="8"/>
      <c r="E2713" s="8"/>
    </row>
    <row r="2714" spans="2:6">
      <c r="B2714" s="24" t="s">
        <v>21</v>
      </c>
      <c r="C2714" s="20" t="s">
        <v>22</v>
      </c>
      <c r="D2714" s="20">
        <v>0.44</v>
      </c>
      <c r="E2714" s="22">
        <v>27500</v>
      </c>
      <c r="F2714" s="25">
        <f>E2714*D2714</f>
        <v>12100</v>
      </c>
    </row>
    <row r="2715" spans="2:6">
      <c r="B2715" s="20" t="s">
        <v>23</v>
      </c>
      <c r="C2715" s="20" t="s">
        <v>22</v>
      </c>
      <c r="D2715" s="20">
        <v>0.44</v>
      </c>
      <c r="E2715" s="22">
        <v>15000</v>
      </c>
      <c r="F2715" s="25">
        <f>E2715*D2715</f>
        <v>6600</v>
      </c>
    </row>
    <row r="2716" spans="2:6" ht="16">
      <c r="B2716" s="26"/>
      <c r="C2716" s="26"/>
      <c r="D2716" s="26"/>
      <c r="E2716" s="26"/>
      <c r="F2716" s="25">
        <f>E2716*D2716</f>
        <v>0</v>
      </c>
    </row>
    <row r="2717" spans="2:6" ht="16">
      <c r="B2717" s="26"/>
      <c r="C2717" s="26"/>
      <c r="D2717" s="26"/>
      <c r="E2717" s="26"/>
      <c r="F2717" s="25">
        <f>E2717*D2717</f>
        <v>0</v>
      </c>
    </row>
    <row r="2718" spans="2:6" ht="16">
      <c r="B2718" s="27" t="s">
        <v>25</v>
      </c>
      <c r="C2718" s="27" t="s">
        <v>26</v>
      </c>
      <c r="D2718" s="28">
        <v>0.32</v>
      </c>
      <c r="E2718" s="29">
        <f>SUM(E2714:E2717)*D2718</f>
        <v>13600</v>
      </c>
      <c r="F2718" s="25">
        <f>E2718*D2718</f>
        <v>4352</v>
      </c>
    </row>
    <row r="2719" spans="2:6" ht="16">
      <c r="B2719" s="8"/>
      <c r="C2719" s="8"/>
      <c r="D2719" s="8"/>
      <c r="E2719" s="8"/>
    </row>
    <row r="2720" spans="2:6" ht="17" thickBot="1">
      <c r="B2720" s="6" t="s">
        <v>27</v>
      </c>
      <c r="C2720" s="8"/>
      <c r="D2720" s="8"/>
      <c r="E2720" s="8"/>
      <c r="F2720" s="23">
        <f>SUM(F2714:F2719)</f>
        <v>23052</v>
      </c>
    </row>
    <row r="2721" spans="2:6" ht="17" thickBot="1">
      <c r="B2721" s="8"/>
      <c r="C2721" s="8"/>
      <c r="D2721" s="8"/>
      <c r="E2721" s="8"/>
    </row>
    <row r="2722" spans="2:6" ht="15" thickTop="1" thickBot="1">
      <c r="B2722" s="16" t="s">
        <v>28</v>
      </c>
      <c r="C2722" s="17" t="s">
        <v>14</v>
      </c>
      <c r="D2722" s="17" t="s">
        <v>15</v>
      </c>
      <c r="E2722" s="17" t="s">
        <v>16</v>
      </c>
      <c r="F2722" s="18" t="s">
        <v>17</v>
      </c>
    </row>
    <row r="2723" spans="2:6" ht="17" thickTop="1">
      <c r="B2723" s="8"/>
      <c r="C2723" s="8"/>
      <c r="D2723" s="8"/>
      <c r="E2723" s="8"/>
    </row>
    <row r="2724" spans="2:6">
      <c r="B2724" s="20"/>
      <c r="C2724" s="20"/>
      <c r="D2724" s="20"/>
      <c r="E2724" s="22"/>
      <c r="F2724" s="25">
        <f>E2724*D2724</f>
        <v>0</v>
      </c>
    </row>
    <row r="2725" spans="2:6">
      <c r="B2725" s="20" t="s">
        <v>31</v>
      </c>
      <c r="C2725" s="20" t="s">
        <v>32</v>
      </c>
      <c r="D2725" s="68">
        <v>0.01</v>
      </c>
      <c r="E2725" s="22">
        <v>25000</v>
      </c>
      <c r="F2725" s="25">
        <f>E2725*D2725</f>
        <v>250</v>
      </c>
    </row>
    <row r="2726" spans="2:6" ht="16">
      <c r="B2726" s="26"/>
      <c r="C2726" s="26"/>
      <c r="D2726" s="26"/>
      <c r="E2726" s="26"/>
      <c r="F2726" s="25">
        <f>E2726*D2726</f>
        <v>0</v>
      </c>
    </row>
    <row r="2727" spans="2:6" ht="16">
      <c r="B2727" s="26"/>
      <c r="C2727" s="26"/>
      <c r="D2727" s="26"/>
      <c r="E2727" s="26"/>
      <c r="F2727" s="25">
        <f>E2727*D2727</f>
        <v>0</v>
      </c>
    </row>
    <row r="2728" spans="2:6" ht="16">
      <c r="B2728" s="30"/>
      <c r="C2728" s="26"/>
      <c r="D2728" s="26"/>
      <c r="E2728" s="26"/>
      <c r="F2728" s="25">
        <f>E2728*D2728</f>
        <v>0</v>
      </c>
    </row>
    <row r="2729" spans="2:6" ht="16">
      <c r="B2729" s="8"/>
      <c r="C2729" s="8"/>
      <c r="D2729" s="8"/>
      <c r="E2729" s="8"/>
    </row>
    <row r="2730" spans="2:6" ht="14" thickBot="1">
      <c r="B2730" s="19" t="s">
        <v>33</v>
      </c>
      <c r="C2730" s="19"/>
      <c r="D2730" s="19"/>
      <c r="E2730" s="19"/>
      <c r="F2730" s="23">
        <f>SUM(F2724:F2729)</f>
        <v>250</v>
      </c>
    </row>
    <row r="2731" spans="2:6" ht="16">
      <c r="B2731" s="8"/>
      <c r="C2731" s="8"/>
      <c r="D2731" s="8"/>
      <c r="E2731" s="8"/>
    </row>
    <row r="2732" spans="2:6" ht="17" thickBot="1">
      <c r="B2732" s="8"/>
      <c r="C2732" s="8"/>
      <c r="D2732" s="8"/>
      <c r="E2732" s="8"/>
    </row>
    <row r="2733" spans="2:6" ht="17" thickBot="1">
      <c r="B2733" s="31" t="s">
        <v>34</v>
      </c>
      <c r="C2733" s="13"/>
      <c r="D2733" s="13"/>
      <c r="E2733" s="13"/>
      <c r="F2733" s="32">
        <f>F2710+F2720+F2730</f>
        <v>118302</v>
      </c>
    </row>
    <row r="2734" spans="2:6" ht="17" thickBot="1">
      <c r="B2734" s="31" t="s">
        <v>35</v>
      </c>
      <c r="C2734" s="13"/>
      <c r="D2734" s="13"/>
      <c r="E2734" s="33">
        <v>0.1</v>
      </c>
      <c r="F2734" s="32">
        <f>F2733*E2734</f>
        <v>11830.2</v>
      </c>
    </row>
    <row r="2735" spans="2:6" ht="17" thickBot="1">
      <c r="B2735" s="31" t="s">
        <v>36</v>
      </c>
      <c r="C2735" s="13"/>
      <c r="D2735" s="13"/>
      <c r="E2735" s="33">
        <v>0.1</v>
      </c>
      <c r="F2735" s="32">
        <f>F2733*E2735</f>
        <v>11830.2</v>
      </c>
    </row>
    <row r="2736" spans="2:6" ht="17" thickBot="1">
      <c r="B2736" s="34" t="s">
        <v>37</v>
      </c>
      <c r="C2736" s="35"/>
      <c r="D2736" s="35"/>
      <c r="E2736" s="35"/>
      <c r="F2736" s="32">
        <f>SUM(F2733:F2735)</f>
        <v>141962.4</v>
      </c>
    </row>
    <row r="2737" spans="2:6" ht="17" thickBot="1">
      <c r="B2737" s="36"/>
      <c r="C2737" s="8"/>
      <c r="D2737" s="8"/>
      <c r="E2737" s="8"/>
    </row>
    <row r="2738" spans="2:6" ht="18" thickTop="1" thickBot="1">
      <c r="B2738" s="37" t="s">
        <v>38</v>
      </c>
      <c r="C2738" s="8"/>
      <c r="D2738" s="8"/>
      <c r="E2738" s="8"/>
    </row>
    <row r="2739" spans="2:6" ht="18" thickTop="1" thickBot="1">
      <c r="B2739" s="8"/>
      <c r="C2739" s="8"/>
      <c r="D2739" s="8"/>
      <c r="E2739" s="8"/>
    </row>
    <row r="2740" spans="2:6" ht="17" thickTop="1">
      <c r="B2740" s="38"/>
      <c r="C2740" s="13"/>
      <c r="D2740" s="13"/>
      <c r="E2740" s="39"/>
      <c r="F2740" s="40"/>
    </row>
    <row r="2741" spans="2:6" ht="16">
      <c r="B2741" s="38"/>
      <c r="C2741" s="13"/>
      <c r="D2741" s="13"/>
      <c r="E2741" s="41"/>
      <c r="F2741" s="42"/>
    </row>
    <row r="2742" spans="2:6" ht="16">
      <c r="B2742" s="38"/>
      <c r="C2742" s="13"/>
      <c r="D2742" s="13"/>
      <c r="E2742" s="41"/>
      <c r="F2742" s="42"/>
    </row>
    <row r="2743" spans="2:6" ht="17" thickBot="1">
      <c r="B2743" s="54"/>
      <c r="C2743" s="35"/>
      <c r="D2743" s="35"/>
      <c r="E2743" s="44"/>
      <c r="F2743" s="45"/>
    </row>
    <row r="2744" spans="2:6" ht="17" thickTop="1">
      <c r="B2744" s="46"/>
      <c r="C2744" s="46"/>
      <c r="D2744" s="46"/>
      <c r="E2744" s="47"/>
      <c r="F2744" s="47"/>
    </row>
    <row r="2746" spans="2:6" ht="14" thickBot="1">
      <c r="B2746" s="1" t="s">
        <v>0</v>
      </c>
      <c r="C2746" s="1"/>
    </row>
    <row r="2747" spans="2:6" ht="17" thickBot="1">
      <c r="B2747" s="1" t="s">
        <v>1</v>
      </c>
      <c r="C2747" s="1"/>
      <c r="E2747" s="4" t="s">
        <v>2</v>
      </c>
      <c r="F2747" s="5"/>
    </row>
    <row r="2748" spans="2:6">
      <c r="B2748" s="6"/>
    </row>
    <row r="2749" spans="2:6" ht="16">
      <c r="B2749" s="7" t="s">
        <v>3</v>
      </c>
      <c r="C2749" s="7"/>
      <c r="D2749" s="7"/>
      <c r="E2749" s="7"/>
      <c r="F2749" s="7"/>
    </row>
    <row r="2750" spans="2:6" ht="16">
      <c r="B2750" s="8"/>
      <c r="C2750" s="8"/>
      <c r="D2750" s="8"/>
      <c r="E2750" s="8"/>
    </row>
    <row r="2751" spans="2:6" ht="16">
      <c r="B2751" s="9" t="s">
        <v>4</v>
      </c>
      <c r="C2751" s="13" t="str">
        <f>C2517</f>
        <v>MEJORAMIENTO ESPACIO PUBLICO JJVV LUCILA GODOY ALCAYAGA</v>
      </c>
      <c r="D2751" s="13"/>
      <c r="E2751" s="13"/>
      <c r="F2751" s="14"/>
    </row>
    <row r="2752" spans="2:6" ht="16">
      <c r="B2752" s="12"/>
      <c r="C2752" s="8"/>
      <c r="D2752" s="8"/>
      <c r="E2752" s="8"/>
    </row>
    <row r="2753" spans="2:6" ht="16">
      <c r="B2753" s="9" t="s">
        <v>5</v>
      </c>
      <c r="C2753" s="13" t="s">
        <v>6</v>
      </c>
      <c r="D2753" s="13"/>
      <c r="E2753" s="13"/>
      <c r="F2753" s="14"/>
    </row>
    <row r="2754" spans="2:6" ht="16">
      <c r="B2754" s="9"/>
      <c r="C2754" s="13"/>
      <c r="D2754" s="13"/>
      <c r="E2754" s="13"/>
      <c r="F2754" s="14"/>
    </row>
    <row r="2755" spans="2:6" ht="16">
      <c r="B2755" s="9" t="s">
        <v>7</v>
      </c>
      <c r="C2755" s="13" t="str">
        <f>[1]LGA!A69</f>
        <v>3.2.4</v>
      </c>
      <c r="D2755" s="13"/>
      <c r="E2755" s="13"/>
      <c r="F2755" s="14"/>
    </row>
    <row r="2756" spans="2:6" ht="16">
      <c r="B2756" s="9" t="s">
        <v>8</v>
      </c>
      <c r="C2756" s="13" t="s">
        <v>201</v>
      </c>
      <c r="D2756" s="13"/>
      <c r="E2756" s="13"/>
      <c r="F2756" s="14"/>
    </row>
    <row r="2757" spans="2:6" ht="16">
      <c r="B2757" s="9" t="s">
        <v>10</v>
      </c>
      <c r="C2757" s="13" t="s">
        <v>95</v>
      </c>
      <c r="D2757" s="13"/>
      <c r="E2757" s="13"/>
      <c r="F2757" s="14"/>
    </row>
    <row r="2758" spans="2:6" ht="16">
      <c r="B2758" s="9" t="s">
        <v>12</v>
      </c>
      <c r="C2758" s="15">
        <f>C2524</f>
        <v>46024</v>
      </c>
      <c r="D2758" s="13"/>
      <c r="E2758" s="13"/>
      <c r="F2758" s="14"/>
    </row>
    <row r="2759" spans="2:6" ht="17" thickBot="1">
      <c r="B2759" s="8"/>
      <c r="C2759" s="8"/>
      <c r="D2759" s="8"/>
      <c r="E2759" s="8"/>
    </row>
    <row r="2760" spans="2:6" ht="15" thickTop="1" thickBot="1">
      <c r="B2760" s="16" t="s">
        <v>13</v>
      </c>
      <c r="C2760" s="17" t="s">
        <v>14</v>
      </c>
      <c r="D2760" s="17" t="s">
        <v>15</v>
      </c>
      <c r="E2760" s="17" t="s">
        <v>16</v>
      </c>
      <c r="F2760" s="18" t="s">
        <v>17</v>
      </c>
    </row>
    <row r="2761" spans="2:6" ht="14" thickTop="1">
      <c r="B2761" s="19"/>
      <c r="C2761" s="19"/>
      <c r="D2761" s="19"/>
      <c r="E2761" s="19"/>
      <c r="F2761" s="19"/>
    </row>
    <row r="2762" spans="2:6">
      <c r="B2762" s="20" t="s">
        <v>202</v>
      </c>
      <c r="C2762" s="21" t="s">
        <v>56</v>
      </c>
      <c r="D2762" s="21">
        <v>0.02</v>
      </c>
      <c r="E2762" s="22">
        <v>45800</v>
      </c>
      <c r="F2762" s="22">
        <f t="shared" ref="F2762:F2767" si="45">E2762*D2762</f>
        <v>916</v>
      </c>
    </row>
    <row r="2763" spans="2:6">
      <c r="B2763" s="20"/>
      <c r="C2763" s="21"/>
      <c r="D2763" s="21"/>
      <c r="E2763" s="22"/>
      <c r="F2763" s="22">
        <f t="shared" si="45"/>
        <v>0</v>
      </c>
    </row>
    <row r="2764" spans="2:6">
      <c r="B2764" s="20"/>
      <c r="C2764" s="21"/>
      <c r="D2764" s="21"/>
      <c r="E2764" s="22"/>
      <c r="F2764" s="22">
        <f t="shared" si="45"/>
        <v>0</v>
      </c>
    </row>
    <row r="2765" spans="2:6">
      <c r="B2765" s="20"/>
      <c r="C2765" s="21"/>
      <c r="D2765" s="21"/>
      <c r="E2765" s="22"/>
      <c r="F2765" s="22">
        <f t="shared" si="45"/>
        <v>0</v>
      </c>
    </row>
    <row r="2766" spans="2:6">
      <c r="B2766" s="20"/>
      <c r="C2766" s="21"/>
      <c r="D2766" s="21"/>
      <c r="E2766" s="22"/>
      <c r="F2766" s="22">
        <f t="shared" si="45"/>
        <v>0</v>
      </c>
    </row>
    <row r="2767" spans="2:6">
      <c r="B2767" s="20"/>
      <c r="C2767" s="21"/>
      <c r="D2767" s="21"/>
      <c r="E2767" s="22"/>
      <c r="F2767" s="22">
        <f t="shared" si="45"/>
        <v>0</v>
      </c>
    </row>
    <row r="2768" spans="2:6" ht="17" thickBot="1">
      <c r="B2768" s="6" t="s">
        <v>19</v>
      </c>
      <c r="C2768" s="8"/>
      <c r="D2768" s="8"/>
      <c r="E2768" s="8"/>
      <c r="F2768" s="23">
        <f>SUM(F2762:F2767)</f>
        <v>916</v>
      </c>
    </row>
    <row r="2769" spans="2:6" ht="17" thickBot="1">
      <c r="B2769" s="8"/>
      <c r="C2769" s="8"/>
      <c r="D2769" s="8"/>
      <c r="E2769" s="8"/>
    </row>
    <row r="2770" spans="2:6" ht="15" thickTop="1" thickBot="1">
      <c r="B2770" s="16" t="s">
        <v>20</v>
      </c>
      <c r="C2770" s="17" t="s">
        <v>14</v>
      </c>
      <c r="D2770" s="17" t="s">
        <v>15</v>
      </c>
      <c r="E2770" s="17" t="s">
        <v>16</v>
      </c>
      <c r="F2770" s="18" t="s">
        <v>17</v>
      </c>
    </row>
    <row r="2771" spans="2:6" ht="17" thickTop="1">
      <c r="B2771" s="8"/>
      <c r="C2771" s="8"/>
      <c r="D2771" s="8"/>
      <c r="E2771" s="8"/>
    </row>
    <row r="2772" spans="2:6">
      <c r="B2772" s="24" t="s">
        <v>21</v>
      </c>
      <c r="C2772" s="20" t="s">
        <v>22</v>
      </c>
      <c r="D2772" s="20">
        <v>0.44</v>
      </c>
      <c r="E2772" s="22">
        <v>27500</v>
      </c>
      <c r="F2772" s="25">
        <f>E2772*D2772</f>
        <v>12100</v>
      </c>
    </row>
    <row r="2773" spans="2:6">
      <c r="B2773" s="20" t="s">
        <v>23</v>
      </c>
      <c r="C2773" s="20" t="s">
        <v>22</v>
      </c>
      <c r="D2773" s="20">
        <v>0.44</v>
      </c>
      <c r="E2773" s="22">
        <v>15000</v>
      </c>
      <c r="F2773" s="25">
        <f>E2773*D2773</f>
        <v>6600</v>
      </c>
    </row>
    <row r="2774" spans="2:6" ht="16">
      <c r="B2774" s="26"/>
      <c r="C2774" s="26"/>
      <c r="D2774" s="26"/>
      <c r="E2774" s="26"/>
      <c r="F2774" s="25">
        <f>E2774*D2774</f>
        <v>0</v>
      </c>
    </row>
    <row r="2775" spans="2:6" ht="16">
      <c r="B2775" s="26"/>
      <c r="C2775" s="26"/>
      <c r="D2775" s="26"/>
      <c r="E2775" s="26"/>
      <c r="F2775" s="25">
        <f>E2775*D2775</f>
        <v>0</v>
      </c>
    </row>
    <row r="2776" spans="2:6" ht="16">
      <c r="B2776" s="27" t="s">
        <v>25</v>
      </c>
      <c r="C2776" s="27" t="s">
        <v>26</v>
      </c>
      <c r="D2776" s="28">
        <v>0.32</v>
      </c>
      <c r="E2776" s="29">
        <f>SUM(E2772:E2775)*D2776</f>
        <v>13600</v>
      </c>
      <c r="F2776" s="25">
        <f>E2776*D2776</f>
        <v>4352</v>
      </c>
    </row>
    <row r="2777" spans="2:6" ht="16">
      <c r="B2777" s="8"/>
      <c r="C2777" s="8"/>
      <c r="D2777" s="8"/>
      <c r="E2777" s="8"/>
    </row>
    <row r="2778" spans="2:6" ht="17" thickBot="1">
      <c r="B2778" s="6" t="s">
        <v>27</v>
      </c>
      <c r="C2778" s="8"/>
      <c r="D2778" s="8"/>
      <c r="E2778" s="8"/>
      <c r="F2778" s="23">
        <f>SUM(F2772:F2777)</f>
        <v>23052</v>
      </c>
    </row>
    <row r="2779" spans="2:6" ht="17" thickBot="1">
      <c r="B2779" s="8"/>
      <c r="C2779" s="8"/>
      <c r="D2779" s="8"/>
      <c r="E2779" s="8"/>
    </row>
    <row r="2780" spans="2:6" ht="15" thickTop="1" thickBot="1">
      <c r="B2780" s="16" t="s">
        <v>28</v>
      </c>
      <c r="C2780" s="17" t="s">
        <v>14</v>
      </c>
      <c r="D2780" s="17" t="s">
        <v>15</v>
      </c>
      <c r="E2780" s="17" t="s">
        <v>16</v>
      </c>
      <c r="F2780" s="18" t="s">
        <v>17</v>
      </c>
    </row>
    <row r="2781" spans="2:6" ht="17" thickTop="1">
      <c r="B2781" s="8"/>
      <c r="C2781" s="8"/>
      <c r="D2781" s="8"/>
      <c r="E2781" s="8"/>
    </row>
    <row r="2782" spans="2:6">
      <c r="B2782" s="20" t="s">
        <v>62</v>
      </c>
      <c r="C2782" s="20" t="s">
        <v>56</v>
      </c>
      <c r="D2782" s="73">
        <v>0.02</v>
      </c>
      <c r="E2782" s="22">
        <v>15000</v>
      </c>
      <c r="F2782" s="25">
        <f>E2782*D2782</f>
        <v>300</v>
      </c>
    </row>
    <row r="2783" spans="2:6">
      <c r="B2783" s="20" t="s">
        <v>31</v>
      </c>
      <c r="C2783" s="20" t="s">
        <v>32</v>
      </c>
      <c r="D2783" s="73">
        <v>0.01</v>
      </c>
      <c r="E2783" s="22">
        <v>25000</v>
      </c>
      <c r="F2783" s="25">
        <f>E2783*D2783</f>
        <v>250</v>
      </c>
    </row>
    <row r="2784" spans="2:6" ht="16">
      <c r="B2784" s="26"/>
      <c r="C2784" s="26"/>
      <c r="D2784" s="26"/>
      <c r="E2784" s="26"/>
      <c r="F2784" s="25">
        <f>E2784*D2784</f>
        <v>0</v>
      </c>
    </row>
    <row r="2785" spans="2:6" ht="16">
      <c r="B2785" s="26"/>
      <c r="C2785" s="26"/>
      <c r="D2785" s="26"/>
      <c r="E2785" s="26"/>
      <c r="F2785" s="25">
        <f>E2785*D2785</f>
        <v>0</v>
      </c>
    </row>
    <row r="2786" spans="2:6" ht="16">
      <c r="B2786" s="30"/>
      <c r="C2786" s="26"/>
      <c r="D2786" s="26"/>
      <c r="E2786" s="26"/>
      <c r="F2786" s="25">
        <f>E2786*D2786</f>
        <v>0</v>
      </c>
    </row>
    <row r="2787" spans="2:6" ht="16">
      <c r="B2787" s="8"/>
      <c r="C2787" s="8"/>
      <c r="D2787" s="8"/>
      <c r="E2787" s="8"/>
    </row>
    <row r="2788" spans="2:6" ht="14" thickBot="1">
      <c r="B2788" s="19" t="s">
        <v>33</v>
      </c>
      <c r="C2788" s="19"/>
      <c r="D2788" s="19"/>
      <c r="E2788" s="19"/>
      <c r="F2788" s="23">
        <f>SUM(F2782:F2787)</f>
        <v>550</v>
      </c>
    </row>
    <row r="2789" spans="2:6" ht="16">
      <c r="B2789" s="8"/>
      <c r="C2789" s="8"/>
      <c r="D2789" s="8"/>
      <c r="E2789" s="8"/>
    </row>
    <row r="2790" spans="2:6" ht="17" thickBot="1">
      <c r="B2790" s="8"/>
      <c r="C2790" s="8"/>
      <c r="D2790" s="8"/>
      <c r="E2790" s="8"/>
    </row>
    <row r="2791" spans="2:6" ht="17" thickBot="1">
      <c r="B2791" s="31" t="s">
        <v>34</v>
      </c>
      <c r="C2791" s="13"/>
      <c r="D2791" s="13"/>
      <c r="E2791" s="13"/>
      <c r="F2791" s="32">
        <f>F2768+F2778+F2788</f>
        <v>24518</v>
      </c>
    </row>
    <row r="2792" spans="2:6" ht="17" thickBot="1">
      <c r="B2792" s="31" t="s">
        <v>35</v>
      </c>
      <c r="C2792" s="13"/>
      <c r="D2792" s="13"/>
      <c r="E2792" s="33">
        <v>0.1</v>
      </c>
      <c r="F2792" s="32">
        <f>F2791*E2792</f>
        <v>2451.8000000000002</v>
      </c>
    </row>
    <row r="2793" spans="2:6" ht="17" thickBot="1">
      <c r="B2793" s="31" t="s">
        <v>36</v>
      </c>
      <c r="C2793" s="13"/>
      <c r="D2793" s="13"/>
      <c r="E2793" s="33">
        <v>0.1</v>
      </c>
      <c r="F2793" s="32">
        <f>F2791*E2793</f>
        <v>2451.8000000000002</v>
      </c>
    </row>
    <row r="2794" spans="2:6" ht="17" thickBot="1">
      <c r="B2794" s="34" t="s">
        <v>37</v>
      </c>
      <c r="C2794" s="35"/>
      <c r="D2794" s="35"/>
      <c r="E2794" s="35"/>
      <c r="F2794" s="32">
        <f>SUM(F2791:F2793)</f>
        <v>29421.599999999999</v>
      </c>
    </row>
    <row r="2795" spans="2:6" ht="17" thickBot="1">
      <c r="B2795" s="36"/>
      <c r="C2795" s="8"/>
      <c r="D2795" s="8"/>
      <c r="E2795" s="8"/>
    </row>
    <row r="2796" spans="2:6" ht="18" thickTop="1" thickBot="1">
      <c r="B2796" s="37" t="s">
        <v>38</v>
      </c>
      <c r="C2796" s="8"/>
      <c r="D2796" s="8"/>
      <c r="E2796" s="8"/>
    </row>
    <row r="2797" spans="2:6" ht="18" thickTop="1" thickBot="1">
      <c r="B2797" s="8"/>
      <c r="C2797" s="8"/>
      <c r="D2797" s="8"/>
      <c r="E2797" s="8"/>
    </row>
    <row r="2798" spans="2:6" ht="17" thickTop="1">
      <c r="B2798" s="38"/>
      <c r="C2798" s="13"/>
      <c r="D2798" s="13"/>
      <c r="E2798" s="39"/>
      <c r="F2798" s="40"/>
    </row>
    <row r="2799" spans="2:6" ht="16">
      <c r="B2799" s="38"/>
      <c r="C2799" s="13"/>
      <c r="D2799" s="13"/>
      <c r="E2799" s="41"/>
      <c r="F2799" s="42"/>
    </row>
    <row r="2800" spans="2:6" ht="16">
      <c r="B2800" s="38"/>
      <c r="C2800" s="13"/>
      <c r="D2800" s="13"/>
      <c r="E2800" s="41"/>
      <c r="F2800" s="42"/>
    </row>
    <row r="2801" spans="2:6" ht="17" thickBot="1">
      <c r="B2801" s="54"/>
      <c r="C2801" s="35"/>
      <c r="D2801" s="35"/>
      <c r="E2801" s="44"/>
      <c r="F2801" s="45"/>
    </row>
    <row r="2802" spans="2:6" ht="14" thickTop="1"/>
    <row r="2803" spans="2:6" ht="14" thickBot="1">
      <c r="B2803" s="1" t="s">
        <v>0</v>
      </c>
      <c r="C2803" s="1"/>
    </row>
    <row r="2804" spans="2:6" ht="17" thickBot="1">
      <c r="B2804" s="1" t="s">
        <v>1</v>
      </c>
      <c r="C2804" s="1"/>
      <c r="E2804" s="4" t="s">
        <v>2</v>
      </c>
      <c r="F2804" s="5"/>
    </row>
    <row r="2805" spans="2:6">
      <c r="B2805" s="6"/>
    </row>
    <row r="2806" spans="2:6" ht="16">
      <c r="B2806" s="7" t="s">
        <v>3</v>
      </c>
      <c r="C2806" s="7"/>
      <c r="D2806" s="7"/>
      <c r="E2806" s="7"/>
      <c r="F2806" s="7"/>
    </row>
    <row r="2807" spans="2:6" ht="16">
      <c r="B2807" s="8"/>
      <c r="C2807" s="8"/>
      <c r="D2807" s="8"/>
      <c r="E2807" s="8"/>
    </row>
    <row r="2808" spans="2:6" ht="16">
      <c r="B2808" s="9" t="s">
        <v>4</v>
      </c>
      <c r="C2808" s="13" t="str">
        <f>C2751</f>
        <v>MEJORAMIENTO ESPACIO PUBLICO JJVV LUCILA GODOY ALCAYAGA</v>
      </c>
      <c r="D2808" s="13"/>
      <c r="E2808" s="13"/>
      <c r="F2808" s="14"/>
    </row>
    <row r="2809" spans="2:6" ht="16">
      <c r="B2809" s="12"/>
      <c r="C2809" s="8"/>
      <c r="D2809" s="8"/>
      <c r="E2809" s="8"/>
    </row>
    <row r="2810" spans="2:6" ht="16">
      <c r="B2810" s="9" t="s">
        <v>5</v>
      </c>
      <c r="C2810" s="13" t="s">
        <v>6</v>
      </c>
      <c r="D2810" s="13"/>
      <c r="E2810" s="13"/>
      <c r="F2810" s="14"/>
    </row>
    <row r="2811" spans="2:6" ht="16">
      <c r="B2811" s="9"/>
      <c r="C2811" s="13"/>
      <c r="D2811" s="13"/>
      <c r="E2811" s="13"/>
      <c r="F2811" s="14"/>
    </row>
    <row r="2812" spans="2:6" ht="16">
      <c r="B2812" s="9" t="s">
        <v>7</v>
      </c>
      <c r="C2812" s="13" t="str">
        <f>[1]LGA!A70</f>
        <v>3.2.5</v>
      </c>
      <c r="D2812" s="13"/>
      <c r="E2812" s="13"/>
      <c r="F2812" s="14"/>
    </row>
    <row r="2813" spans="2:6" ht="16">
      <c r="B2813" s="9" t="s">
        <v>8</v>
      </c>
      <c r="C2813" s="13" t="s">
        <v>203</v>
      </c>
      <c r="D2813" s="13"/>
      <c r="E2813" s="13"/>
      <c r="F2813" s="14"/>
    </row>
    <row r="2814" spans="2:6" ht="16">
      <c r="B2814" s="9" t="s">
        <v>10</v>
      </c>
      <c r="C2814" s="13" t="s">
        <v>182</v>
      </c>
      <c r="D2814" s="13"/>
      <c r="E2814" s="13"/>
      <c r="F2814" s="14"/>
    </row>
    <row r="2815" spans="2:6" ht="16">
      <c r="B2815" s="9" t="s">
        <v>12</v>
      </c>
      <c r="C2815" s="15">
        <f>C2758</f>
        <v>46024</v>
      </c>
      <c r="D2815" s="13"/>
      <c r="E2815" s="13"/>
      <c r="F2815" s="14"/>
    </row>
    <row r="2816" spans="2:6" ht="17" thickBot="1">
      <c r="B2816" s="8"/>
      <c r="C2816" s="8"/>
      <c r="D2816" s="8"/>
      <c r="E2816" s="8"/>
    </row>
    <row r="2817" spans="2:6" ht="15" thickTop="1" thickBot="1">
      <c r="B2817" s="16" t="s">
        <v>13</v>
      </c>
      <c r="C2817" s="17" t="s">
        <v>14</v>
      </c>
      <c r="D2817" s="17" t="s">
        <v>15</v>
      </c>
      <c r="E2817" s="17" t="s">
        <v>16</v>
      </c>
      <c r="F2817" s="18" t="s">
        <v>17</v>
      </c>
    </row>
    <row r="2818" spans="2:6" ht="14" thickTop="1">
      <c r="B2818" s="19"/>
      <c r="C2818" s="19"/>
      <c r="D2818" s="19"/>
      <c r="E2818" s="19"/>
      <c r="F2818" s="19"/>
    </row>
    <row r="2819" spans="2:6">
      <c r="B2819" s="20" t="s">
        <v>204</v>
      </c>
      <c r="C2819" s="21" t="s">
        <v>43</v>
      </c>
      <c r="D2819" s="21">
        <v>0.2</v>
      </c>
      <c r="E2819" s="22">
        <v>26000</v>
      </c>
      <c r="F2819" s="22">
        <f t="shared" ref="F2819:F2824" si="46">E2819*D2819</f>
        <v>5200</v>
      </c>
    </row>
    <row r="2820" spans="2:6">
      <c r="B2820" s="20"/>
      <c r="C2820" s="21"/>
      <c r="D2820" s="21"/>
      <c r="E2820" s="22"/>
      <c r="F2820" s="22">
        <f t="shared" si="46"/>
        <v>0</v>
      </c>
    </row>
    <row r="2821" spans="2:6">
      <c r="B2821" s="20"/>
      <c r="C2821" s="21"/>
      <c r="D2821" s="21"/>
      <c r="E2821" s="22"/>
      <c r="F2821" s="22">
        <f t="shared" si="46"/>
        <v>0</v>
      </c>
    </row>
    <row r="2822" spans="2:6">
      <c r="B2822" s="20"/>
      <c r="C2822" s="21"/>
      <c r="D2822" s="21"/>
      <c r="E2822" s="22"/>
      <c r="F2822" s="22">
        <f t="shared" si="46"/>
        <v>0</v>
      </c>
    </row>
    <row r="2823" spans="2:6">
      <c r="B2823" s="20"/>
      <c r="C2823" s="21"/>
      <c r="D2823" s="21"/>
      <c r="E2823" s="22"/>
      <c r="F2823" s="22">
        <f t="shared" si="46"/>
        <v>0</v>
      </c>
    </row>
    <row r="2824" spans="2:6">
      <c r="B2824" s="20"/>
      <c r="C2824" s="21"/>
      <c r="D2824" s="21"/>
      <c r="E2824" s="22"/>
      <c r="F2824" s="22">
        <f t="shared" si="46"/>
        <v>0</v>
      </c>
    </row>
    <row r="2825" spans="2:6" ht="17" thickBot="1">
      <c r="B2825" s="6" t="s">
        <v>19</v>
      </c>
      <c r="C2825" s="8"/>
      <c r="D2825" s="8"/>
      <c r="E2825" s="8"/>
      <c r="F2825" s="23">
        <f>SUM(F2819:F2824)</f>
        <v>5200</v>
      </c>
    </row>
    <row r="2826" spans="2:6" ht="17" thickBot="1">
      <c r="B2826" s="8"/>
      <c r="C2826" s="8"/>
      <c r="D2826" s="8"/>
      <c r="E2826" s="8"/>
    </row>
    <row r="2827" spans="2:6" ht="15" thickTop="1" thickBot="1">
      <c r="B2827" s="16" t="s">
        <v>20</v>
      </c>
      <c r="C2827" s="17" t="s">
        <v>14</v>
      </c>
      <c r="D2827" s="17" t="s">
        <v>15</v>
      </c>
      <c r="E2827" s="17" t="s">
        <v>16</v>
      </c>
      <c r="F2827" s="18" t="s">
        <v>17</v>
      </c>
    </row>
    <row r="2828" spans="2:6" ht="17" thickTop="1">
      <c r="B2828" s="8"/>
      <c r="C2828" s="8"/>
      <c r="D2828" s="8"/>
      <c r="E2828" s="8"/>
    </row>
    <row r="2829" spans="2:6">
      <c r="B2829" s="24" t="s">
        <v>21</v>
      </c>
      <c r="C2829" s="20" t="s">
        <v>22</v>
      </c>
      <c r="D2829" s="20">
        <v>0.44</v>
      </c>
      <c r="E2829" s="22">
        <v>27500</v>
      </c>
      <c r="F2829" s="25">
        <f>E2829*D2829</f>
        <v>12100</v>
      </c>
    </row>
    <row r="2830" spans="2:6">
      <c r="B2830" s="20" t="s">
        <v>23</v>
      </c>
      <c r="C2830" s="20" t="s">
        <v>22</v>
      </c>
      <c r="D2830" s="20">
        <v>0.44</v>
      </c>
      <c r="E2830" s="22">
        <v>15000</v>
      </c>
      <c r="F2830" s="25">
        <f>E2830*D2830</f>
        <v>6600</v>
      </c>
    </row>
    <row r="2831" spans="2:6" ht="16">
      <c r="B2831" s="26"/>
      <c r="C2831" s="26"/>
      <c r="D2831" s="26"/>
      <c r="E2831" s="26"/>
      <c r="F2831" s="25">
        <f>E2831*D2831</f>
        <v>0</v>
      </c>
    </row>
    <row r="2832" spans="2:6" ht="16">
      <c r="B2832" s="26"/>
      <c r="C2832" s="26"/>
      <c r="D2832" s="26"/>
      <c r="E2832" s="26"/>
      <c r="F2832" s="25">
        <f>E2832*D2832</f>
        <v>0</v>
      </c>
    </row>
    <row r="2833" spans="2:6" ht="16">
      <c r="B2833" s="27" t="s">
        <v>25</v>
      </c>
      <c r="C2833" s="27" t="s">
        <v>26</v>
      </c>
      <c r="D2833" s="28">
        <v>0.32</v>
      </c>
      <c r="E2833" s="29">
        <f>SUM(E2829:E2832)*D2833</f>
        <v>13600</v>
      </c>
      <c r="F2833" s="25">
        <f>E2833*D2833</f>
        <v>4352</v>
      </c>
    </row>
    <row r="2834" spans="2:6" ht="16">
      <c r="B2834" s="8"/>
      <c r="C2834" s="8"/>
      <c r="D2834" s="8"/>
      <c r="E2834" s="8"/>
    </row>
    <row r="2835" spans="2:6" ht="17" thickBot="1">
      <c r="B2835" s="6" t="s">
        <v>27</v>
      </c>
      <c r="C2835" s="8"/>
      <c r="D2835" s="8"/>
      <c r="E2835" s="8"/>
      <c r="F2835" s="23">
        <f>SUM(F2829:F2834)</f>
        <v>23052</v>
      </c>
    </row>
    <row r="2836" spans="2:6" ht="17" thickBot="1">
      <c r="B2836" s="8"/>
      <c r="C2836" s="8"/>
      <c r="D2836" s="8"/>
      <c r="E2836" s="8"/>
    </row>
    <row r="2837" spans="2:6" ht="15" thickTop="1" thickBot="1">
      <c r="B2837" s="16" t="s">
        <v>28</v>
      </c>
      <c r="C2837" s="17" t="s">
        <v>14</v>
      </c>
      <c r="D2837" s="17" t="s">
        <v>15</v>
      </c>
      <c r="E2837" s="17" t="s">
        <v>16</v>
      </c>
      <c r="F2837" s="18" t="s">
        <v>17</v>
      </c>
    </row>
    <row r="2838" spans="2:6" ht="17" thickTop="1">
      <c r="B2838" s="8"/>
      <c r="C2838" s="8"/>
      <c r="D2838" s="8"/>
      <c r="E2838" s="8"/>
    </row>
    <row r="2839" spans="2:6">
      <c r="B2839" s="20"/>
      <c r="C2839" s="20"/>
      <c r="D2839" s="73"/>
      <c r="E2839" s="22"/>
      <c r="F2839" s="25">
        <f>E2839*D2839</f>
        <v>0</v>
      </c>
    </row>
    <row r="2840" spans="2:6">
      <c r="B2840" s="20" t="s">
        <v>31</v>
      </c>
      <c r="C2840" s="20" t="s">
        <v>32</v>
      </c>
      <c r="D2840" s="68">
        <v>0.01</v>
      </c>
      <c r="E2840" s="22">
        <v>25000</v>
      </c>
      <c r="F2840" s="25">
        <f>E2840*D2840</f>
        <v>250</v>
      </c>
    </row>
    <row r="2841" spans="2:6" ht="16">
      <c r="B2841" s="26"/>
      <c r="C2841" s="26"/>
      <c r="D2841" s="26"/>
      <c r="E2841" s="26"/>
      <c r="F2841" s="25">
        <f>E2841*D2841</f>
        <v>0</v>
      </c>
    </row>
    <row r="2842" spans="2:6" ht="16">
      <c r="B2842" s="26"/>
      <c r="C2842" s="26"/>
      <c r="D2842" s="26"/>
      <c r="E2842" s="26"/>
      <c r="F2842" s="25">
        <f>E2842*D2842</f>
        <v>0</v>
      </c>
    </row>
    <row r="2843" spans="2:6" ht="16">
      <c r="B2843" s="30"/>
      <c r="C2843" s="26"/>
      <c r="D2843" s="26"/>
      <c r="E2843" s="26"/>
      <c r="F2843" s="25">
        <f>E2843*D2843</f>
        <v>0</v>
      </c>
    </row>
    <row r="2844" spans="2:6" ht="16">
      <c r="B2844" s="8"/>
      <c r="C2844" s="8"/>
      <c r="D2844" s="8"/>
      <c r="E2844" s="8"/>
    </row>
    <row r="2845" spans="2:6" ht="14" thickBot="1">
      <c r="B2845" s="19" t="s">
        <v>33</v>
      </c>
      <c r="C2845" s="19"/>
      <c r="D2845" s="19"/>
      <c r="E2845" s="19"/>
      <c r="F2845" s="23">
        <f>SUM(F2839:F2844)</f>
        <v>250</v>
      </c>
    </row>
    <row r="2846" spans="2:6" ht="16">
      <c r="B2846" s="8"/>
      <c r="C2846" s="8"/>
      <c r="D2846" s="8"/>
      <c r="E2846" s="8"/>
    </row>
    <row r="2847" spans="2:6" ht="17" thickBot="1">
      <c r="B2847" s="8"/>
      <c r="C2847" s="8"/>
      <c r="D2847" s="8"/>
      <c r="E2847" s="8"/>
    </row>
    <row r="2848" spans="2:6" ht="17" thickBot="1">
      <c r="B2848" s="31" t="s">
        <v>34</v>
      </c>
      <c r="C2848" s="13"/>
      <c r="D2848" s="13"/>
      <c r="E2848" s="13"/>
      <c r="F2848" s="32">
        <f>F2825+F2835+F2845</f>
        <v>28502</v>
      </c>
    </row>
    <row r="2849" spans="2:6" ht="17" thickBot="1">
      <c r="B2849" s="31" t="s">
        <v>35</v>
      </c>
      <c r="C2849" s="13"/>
      <c r="D2849" s="13"/>
      <c r="E2849" s="33">
        <v>0.1</v>
      </c>
      <c r="F2849" s="32">
        <f>F2848*E2849</f>
        <v>2850.2000000000003</v>
      </c>
    </row>
    <row r="2850" spans="2:6" ht="17" thickBot="1">
      <c r="B2850" s="31" t="s">
        <v>36</v>
      </c>
      <c r="C2850" s="13"/>
      <c r="D2850" s="13"/>
      <c r="E2850" s="33">
        <v>0.1</v>
      </c>
      <c r="F2850" s="32">
        <f>F2848*E2850</f>
        <v>2850.2000000000003</v>
      </c>
    </row>
    <row r="2851" spans="2:6" ht="17" thickBot="1">
      <c r="B2851" s="34" t="s">
        <v>37</v>
      </c>
      <c r="C2851" s="35"/>
      <c r="D2851" s="35"/>
      <c r="E2851" s="35"/>
      <c r="F2851" s="32">
        <f>SUM(F2848:F2850)</f>
        <v>34202.400000000001</v>
      </c>
    </row>
    <row r="2852" spans="2:6" ht="17" thickBot="1">
      <c r="B2852" s="36"/>
      <c r="C2852" s="8"/>
      <c r="D2852" s="8"/>
      <c r="E2852" s="8"/>
    </row>
    <row r="2853" spans="2:6" ht="18" thickTop="1" thickBot="1">
      <c r="B2853" s="37" t="s">
        <v>38</v>
      </c>
      <c r="C2853" s="8"/>
      <c r="D2853" s="8"/>
      <c r="E2853" s="8"/>
    </row>
    <row r="2854" spans="2:6" ht="18" thickTop="1" thickBot="1">
      <c r="B2854" s="8"/>
      <c r="C2854" s="8"/>
      <c r="D2854" s="8"/>
      <c r="E2854" s="8"/>
    </row>
    <row r="2855" spans="2:6" ht="17" thickTop="1">
      <c r="B2855" s="38"/>
      <c r="C2855" s="13"/>
      <c r="D2855" s="13"/>
      <c r="E2855" s="39"/>
      <c r="F2855" s="40"/>
    </row>
    <row r="2856" spans="2:6" ht="16">
      <c r="B2856" s="38"/>
      <c r="C2856" s="13"/>
      <c r="D2856" s="13"/>
      <c r="E2856" s="41"/>
      <c r="F2856" s="42"/>
    </row>
    <row r="2857" spans="2:6" ht="16">
      <c r="B2857" s="38"/>
      <c r="C2857" s="13"/>
      <c r="D2857" s="13"/>
      <c r="E2857" s="41"/>
      <c r="F2857" s="42"/>
    </row>
    <row r="2858" spans="2:6" ht="17" thickBot="1">
      <c r="B2858" s="54"/>
      <c r="C2858" s="35"/>
      <c r="D2858" s="35"/>
      <c r="E2858" s="44"/>
      <c r="F2858" s="45"/>
    </row>
    <row r="2859" spans="2:6" ht="14" thickTop="1"/>
    <row r="2861" spans="2:6" ht="14" thickBot="1">
      <c r="B2861" s="1" t="s">
        <v>0</v>
      </c>
      <c r="C2861" s="1"/>
    </row>
    <row r="2862" spans="2:6" ht="17" thickBot="1">
      <c r="B2862" s="1" t="s">
        <v>1</v>
      </c>
      <c r="C2862" s="1"/>
      <c r="E2862" s="4" t="s">
        <v>2</v>
      </c>
      <c r="F2862" s="5"/>
    </row>
    <row r="2863" spans="2:6">
      <c r="B2863" s="6"/>
    </row>
    <row r="2864" spans="2:6" ht="16">
      <c r="B2864" s="7" t="s">
        <v>3</v>
      </c>
      <c r="C2864" s="7"/>
      <c r="D2864" s="7"/>
      <c r="E2864" s="7"/>
      <c r="F2864" s="7"/>
    </row>
    <row r="2865" spans="2:6" ht="16">
      <c r="B2865" s="8"/>
      <c r="C2865" s="8"/>
      <c r="D2865" s="8"/>
      <c r="E2865" s="8"/>
    </row>
    <row r="2866" spans="2:6" ht="16">
      <c r="B2866" s="9" t="s">
        <v>4</v>
      </c>
      <c r="C2866" s="13" t="str">
        <f>C2636</f>
        <v>MEJORAMIENTO ESPACIO PUBLICO JJVV LUCILA GODOY ALCAYAGA</v>
      </c>
      <c r="D2866" s="13"/>
      <c r="E2866" s="13"/>
      <c r="F2866" s="14"/>
    </row>
    <row r="2867" spans="2:6" ht="16">
      <c r="B2867" s="12"/>
      <c r="C2867" s="8"/>
      <c r="D2867" s="8"/>
      <c r="E2867" s="8"/>
    </row>
    <row r="2868" spans="2:6" ht="16">
      <c r="B2868" s="9" t="s">
        <v>5</v>
      </c>
      <c r="C2868" s="13" t="s">
        <v>6</v>
      </c>
      <c r="D2868" s="13"/>
      <c r="E2868" s="13"/>
      <c r="F2868" s="14"/>
    </row>
    <row r="2869" spans="2:6" ht="16">
      <c r="B2869" s="9"/>
      <c r="C2869" s="13"/>
      <c r="D2869" s="13"/>
      <c r="E2869" s="13"/>
      <c r="F2869" s="14"/>
    </row>
    <row r="2870" spans="2:6" ht="16">
      <c r="B2870" s="9" t="s">
        <v>7</v>
      </c>
      <c r="C2870" s="13" t="str">
        <f>[1]LGA!A71</f>
        <v>3.2.6</v>
      </c>
      <c r="D2870" s="13"/>
      <c r="E2870" s="13"/>
      <c r="F2870" s="14"/>
    </row>
    <row r="2871" spans="2:6" ht="16">
      <c r="B2871" s="9" t="s">
        <v>8</v>
      </c>
      <c r="C2871" s="13" t="s">
        <v>205</v>
      </c>
      <c r="D2871" s="13"/>
      <c r="E2871" s="13"/>
      <c r="F2871" s="14"/>
    </row>
    <row r="2872" spans="2:6" ht="16">
      <c r="B2872" s="9" t="s">
        <v>10</v>
      </c>
      <c r="C2872" s="13" t="s">
        <v>95</v>
      </c>
      <c r="D2872" s="13"/>
      <c r="E2872" s="13"/>
      <c r="F2872" s="14"/>
    </row>
    <row r="2873" spans="2:6" ht="16">
      <c r="B2873" s="9" t="s">
        <v>12</v>
      </c>
      <c r="C2873" s="15">
        <f>C2643</f>
        <v>46024</v>
      </c>
      <c r="D2873" s="13"/>
      <c r="E2873" s="13"/>
      <c r="F2873" s="14"/>
    </row>
    <row r="2874" spans="2:6" ht="17" thickBot="1">
      <c r="B2874" s="8"/>
      <c r="C2874" s="8"/>
      <c r="D2874" s="8"/>
      <c r="E2874" s="8"/>
    </row>
    <row r="2875" spans="2:6" ht="15" thickTop="1" thickBot="1">
      <c r="B2875" s="16" t="s">
        <v>13</v>
      </c>
      <c r="C2875" s="17" t="s">
        <v>14</v>
      </c>
      <c r="D2875" s="17" t="s">
        <v>15</v>
      </c>
      <c r="E2875" s="17" t="s">
        <v>16</v>
      </c>
      <c r="F2875" s="18" t="s">
        <v>17</v>
      </c>
    </row>
    <row r="2876" spans="2:6" ht="14" thickTop="1">
      <c r="B2876" s="19"/>
      <c r="C2876" s="19"/>
      <c r="D2876" s="19"/>
      <c r="E2876" s="19"/>
      <c r="F2876" s="19"/>
    </row>
    <row r="2877" spans="2:6">
      <c r="B2877" s="20" t="s">
        <v>206</v>
      </c>
      <c r="C2877" s="21" t="s">
        <v>43</v>
      </c>
      <c r="D2877" s="21">
        <v>0.27</v>
      </c>
      <c r="E2877" s="22">
        <v>170000</v>
      </c>
      <c r="F2877" s="22">
        <f t="shared" ref="F2877:F2882" si="47">E2877*D2877</f>
        <v>45900</v>
      </c>
    </row>
    <row r="2878" spans="2:6">
      <c r="B2878" s="20"/>
      <c r="C2878" s="21"/>
      <c r="D2878" s="21"/>
      <c r="E2878" s="22"/>
      <c r="F2878" s="22">
        <f t="shared" si="47"/>
        <v>0</v>
      </c>
    </row>
    <row r="2879" spans="2:6">
      <c r="B2879" s="20"/>
      <c r="C2879" s="21"/>
      <c r="D2879" s="21"/>
      <c r="E2879" s="22"/>
      <c r="F2879" s="22">
        <f t="shared" si="47"/>
        <v>0</v>
      </c>
    </row>
    <row r="2880" spans="2:6">
      <c r="B2880" s="20"/>
      <c r="C2880" s="21"/>
      <c r="D2880" s="21"/>
      <c r="E2880" s="22"/>
      <c r="F2880" s="22">
        <f t="shared" si="47"/>
        <v>0</v>
      </c>
    </row>
    <row r="2881" spans="2:6">
      <c r="B2881" s="20"/>
      <c r="C2881" s="21"/>
      <c r="D2881" s="21"/>
      <c r="E2881" s="22"/>
      <c r="F2881" s="22">
        <f t="shared" si="47"/>
        <v>0</v>
      </c>
    </row>
    <row r="2882" spans="2:6">
      <c r="B2882" s="20"/>
      <c r="C2882" s="21"/>
      <c r="D2882" s="21"/>
      <c r="E2882" s="22"/>
      <c r="F2882" s="22">
        <f t="shared" si="47"/>
        <v>0</v>
      </c>
    </row>
    <row r="2883" spans="2:6" ht="17" thickBot="1">
      <c r="B2883" s="6" t="s">
        <v>19</v>
      </c>
      <c r="C2883" s="8"/>
      <c r="D2883" s="8"/>
      <c r="E2883" s="8"/>
      <c r="F2883" s="23">
        <f>SUM(F2877:F2882)</f>
        <v>45900</v>
      </c>
    </row>
    <row r="2884" spans="2:6" ht="17" thickBot="1">
      <c r="B2884" s="8"/>
      <c r="C2884" s="8"/>
      <c r="D2884" s="8"/>
      <c r="E2884" s="8"/>
    </row>
    <row r="2885" spans="2:6" ht="15" thickTop="1" thickBot="1">
      <c r="B2885" s="16" t="s">
        <v>20</v>
      </c>
      <c r="C2885" s="17" t="s">
        <v>14</v>
      </c>
      <c r="D2885" s="17" t="s">
        <v>15</v>
      </c>
      <c r="E2885" s="17" t="s">
        <v>16</v>
      </c>
      <c r="F2885" s="18" t="s">
        <v>17</v>
      </c>
    </row>
    <row r="2886" spans="2:6" ht="17" thickTop="1">
      <c r="B2886" s="8"/>
      <c r="C2886" s="8"/>
      <c r="D2886" s="8"/>
      <c r="E2886" s="8"/>
    </row>
    <row r="2887" spans="2:6">
      <c r="B2887" s="24" t="s">
        <v>21</v>
      </c>
      <c r="C2887" s="20" t="s">
        <v>22</v>
      </c>
      <c r="D2887" s="20">
        <v>0.44</v>
      </c>
      <c r="E2887" s="22">
        <v>27500</v>
      </c>
      <c r="F2887" s="25">
        <f>E2887*D2887</f>
        <v>12100</v>
      </c>
    </row>
    <row r="2888" spans="2:6">
      <c r="B2888" s="20" t="s">
        <v>23</v>
      </c>
      <c r="C2888" s="20" t="s">
        <v>22</v>
      </c>
      <c r="D2888" s="20">
        <v>0.44</v>
      </c>
      <c r="E2888" s="22">
        <v>15000</v>
      </c>
      <c r="F2888" s="25">
        <f>E2888*D2888</f>
        <v>6600</v>
      </c>
    </row>
    <row r="2889" spans="2:6" ht="16">
      <c r="B2889" s="26"/>
      <c r="C2889" s="26"/>
      <c r="D2889" s="26"/>
      <c r="E2889" s="26"/>
      <c r="F2889" s="25">
        <f>E2889*D2889</f>
        <v>0</v>
      </c>
    </row>
    <row r="2890" spans="2:6" ht="16">
      <c r="B2890" s="26"/>
      <c r="C2890" s="26"/>
      <c r="D2890" s="26"/>
      <c r="E2890" s="26"/>
      <c r="F2890" s="25">
        <f>E2890*D2890</f>
        <v>0</v>
      </c>
    </row>
    <row r="2891" spans="2:6" ht="16">
      <c r="B2891" s="27" t="s">
        <v>25</v>
      </c>
      <c r="C2891" s="27" t="s">
        <v>26</v>
      </c>
      <c r="D2891" s="28">
        <v>0.32</v>
      </c>
      <c r="E2891" s="29">
        <f>SUM(E2887:E2890)*D2891</f>
        <v>13600</v>
      </c>
      <c r="F2891" s="25">
        <f>E2891*D2891</f>
        <v>4352</v>
      </c>
    </row>
    <row r="2892" spans="2:6" ht="16">
      <c r="B2892" s="8"/>
      <c r="C2892" s="8"/>
      <c r="D2892" s="8"/>
      <c r="E2892" s="8"/>
    </row>
    <row r="2893" spans="2:6" ht="17" thickBot="1">
      <c r="B2893" s="6" t="s">
        <v>27</v>
      </c>
      <c r="C2893" s="8"/>
      <c r="D2893" s="8"/>
      <c r="E2893" s="8"/>
      <c r="F2893" s="23">
        <f>SUM(F2887:F2892)</f>
        <v>23052</v>
      </c>
    </row>
    <row r="2894" spans="2:6" ht="17" thickBot="1">
      <c r="B2894" s="8"/>
      <c r="C2894" s="8"/>
      <c r="D2894" s="8"/>
      <c r="E2894" s="8"/>
    </row>
    <row r="2895" spans="2:6" ht="15" thickTop="1" thickBot="1">
      <c r="B2895" s="16" t="s">
        <v>28</v>
      </c>
      <c r="C2895" s="17" t="s">
        <v>14</v>
      </c>
      <c r="D2895" s="17" t="s">
        <v>15</v>
      </c>
      <c r="E2895" s="17" t="s">
        <v>16</v>
      </c>
      <c r="F2895" s="18" t="s">
        <v>17</v>
      </c>
    </row>
    <row r="2896" spans="2:6" ht="17" thickTop="1">
      <c r="B2896" s="8"/>
      <c r="C2896" s="8"/>
      <c r="D2896" s="8"/>
      <c r="E2896" s="8"/>
    </row>
    <row r="2897" spans="2:6">
      <c r="B2897" s="20"/>
      <c r="C2897" s="20"/>
      <c r="D2897" s="20"/>
      <c r="E2897" s="22"/>
      <c r="F2897" s="25">
        <f>E2897*D2897</f>
        <v>0</v>
      </c>
    </row>
    <row r="2898" spans="2:6">
      <c r="B2898" s="20" t="s">
        <v>31</v>
      </c>
      <c r="C2898" s="20" t="s">
        <v>32</v>
      </c>
      <c r="D2898" s="68">
        <v>0.3</v>
      </c>
      <c r="E2898" s="22">
        <v>25000</v>
      </c>
      <c r="F2898" s="25">
        <f>E2898*D2898</f>
        <v>7500</v>
      </c>
    </row>
    <row r="2899" spans="2:6" ht="16">
      <c r="B2899" s="26"/>
      <c r="C2899" s="26"/>
      <c r="D2899" s="26"/>
      <c r="E2899" s="26"/>
      <c r="F2899" s="25">
        <f>E2899*D2899</f>
        <v>0</v>
      </c>
    </row>
    <row r="2900" spans="2:6" ht="16">
      <c r="B2900" s="26"/>
      <c r="C2900" s="26"/>
      <c r="D2900" s="26"/>
      <c r="E2900" s="26"/>
      <c r="F2900" s="25">
        <f>E2900*D2900</f>
        <v>0</v>
      </c>
    </row>
    <row r="2901" spans="2:6" ht="16">
      <c r="B2901" s="30"/>
      <c r="C2901" s="26"/>
      <c r="D2901" s="26"/>
      <c r="E2901" s="26"/>
      <c r="F2901" s="25">
        <f>E2901*D2901</f>
        <v>0</v>
      </c>
    </row>
    <row r="2902" spans="2:6" ht="16">
      <c r="B2902" s="8"/>
      <c r="C2902" s="8"/>
      <c r="D2902" s="8"/>
      <c r="E2902" s="8"/>
    </row>
    <row r="2903" spans="2:6" ht="14" thickBot="1">
      <c r="B2903" s="19" t="s">
        <v>33</v>
      </c>
      <c r="C2903" s="19"/>
      <c r="D2903" s="19"/>
      <c r="E2903" s="19"/>
      <c r="F2903" s="23">
        <f>SUM(F2897:F2902)</f>
        <v>7500</v>
      </c>
    </row>
    <row r="2904" spans="2:6" ht="16">
      <c r="B2904" s="8"/>
      <c r="C2904" s="8"/>
      <c r="D2904" s="8"/>
      <c r="E2904" s="8"/>
    </row>
    <row r="2905" spans="2:6" ht="17" thickBot="1">
      <c r="B2905" s="8"/>
      <c r="C2905" s="8"/>
      <c r="D2905" s="8"/>
      <c r="E2905" s="8"/>
    </row>
    <row r="2906" spans="2:6" ht="17" thickBot="1">
      <c r="B2906" s="31" t="s">
        <v>34</v>
      </c>
      <c r="C2906" s="13"/>
      <c r="D2906" s="13"/>
      <c r="E2906" s="13"/>
      <c r="F2906" s="32">
        <f>F2883+F2893+F2903</f>
        <v>76452</v>
      </c>
    </row>
    <row r="2907" spans="2:6" ht="17" thickBot="1">
      <c r="B2907" s="31" t="s">
        <v>35</v>
      </c>
      <c r="C2907" s="13"/>
      <c r="D2907" s="13"/>
      <c r="E2907" s="33">
        <v>0.1</v>
      </c>
      <c r="F2907" s="32">
        <f>F2906*E2907</f>
        <v>7645.2000000000007</v>
      </c>
    </row>
    <row r="2908" spans="2:6" ht="17" thickBot="1">
      <c r="B2908" s="31" t="s">
        <v>36</v>
      </c>
      <c r="C2908" s="13"/>
      <c r="D2908" s="13"/>
      <c r="E2908" s="33">
        <v>0.1</v>
      </c>
      <c r="F2908" s="32">
        <f>F2906*E2908</f>
        <v>7645.2000000000007</v>
      </c>
    </row>
    <row r="2909" spans="2:6" ht="17" thickBot="1">
      <c r="B2909" s="34" t="s">
        <v>37</v>
      </c>
      <c r="C2909" s="35"/>
      <c r="D2909" s="35"/>
      <c r="E2909" s="35"/>
      <c r="F2909" s="32">
        <f>SUM(F2906:F2908)</f>
        <v>91742.399999999994</v>
      </c>
    </row>
    <row r="2910" spans="2:6" ht="17" thickBot="1">
      <c r="B2910" s="36"/>
      <c r="C2910" s="8"/>
      <c r="D2910" s="8"/>
      <c r="E2910" s="8"/>
    </row>
    <row r="2911" spans="2:6" ht="18" thickTop="1" thickBot="1">
      <c r="B2911" s="37" t="s">
        <v>38</v>
      </c>
      <c r="C2911" s="8"/>
      <c r="D2911" s="8"/>
      <c r="E2911" s="8"/>
    </row>
    <row r="2912" spans="2:6" ht="18" thickTop="1" thickBot="1">
      <c r="B2912" s="8"/>
      <c r="C2912" s="8"/>
      <c r="D2912" s="8"/>
      <c r="E2912" s="8"/>
    </row>
    <row r="2913" spans="2:6" ht="17" thickTop="1">
      <c r="B2913" s="38"/>
      <c r="C2913" s="13"/>
      <c r="D2913" s="13"/>
      <c r="E2913" s="39"/>
      <c r="F2913" s="40"/>
    </row>
    <row r="2914" spans="2:6" ht="16">
      <c r="B2914" s="38"/>
      <c r="C2914" s="13"/>
      <c r="D2914" s="13"/>
      <c r="E2914" s="41"/>
      <c r="F2914" s="42"/>
    </row>
    <row r="2915" spans="2:6" ht="16">
      <c r="B2915" s="38"/>
      <c r="C2915" s="13"/>
      <c r="D2915" s="13"/>
      <c r="E2915" s="41"/>
      <c r="F2915" s="42"/>
    </row>
    <row r="2916" spans="2:6" ht="17" thickBot="1">
      <c r="B2916" s="54"/>
      <c r="C2916" s="35"/>
      <c r="D2916" s="35"/>
      <c r="E2916" s="44"/>
      <c r="F2916" s="45"/>
    </row>
    <row r="2917" spans="2:6" ht="15" thickTop="1" thickBot="1">
      <c r="B2917" s="1" t="s">
        <v>0</v>
      </c>
      <c r="C2917" s="1"/>
    </row>
    <row r="2918" spans="2:6" ht="17" thickBot="1">
      <c r="B2918" s="1" t="s">
        <v>1</v>
      </c>
      <c r="C2918" s="1"/>
      <c r="E2918" s="4" t="s">
        <v>2</v>
      </c>
      <c r="F2918" s="5"/>
    </row>
    <row r="2919" spans="2:6">
      <c r="B2919" s="6"/>
    </row>
    <row r="2920" spans="2:6" ht="16">
      <c r="B2920" s="7" t="s">
        <v>3</v>
      </c>
      <c r="C2920" s="7"/>
      <c r="D2920" s="7"/>
      <c r="E2920" s="7"/>
      <c r="F2920" s="7"/>
    </row>
    <row r="2921" spans="2:6" ht="16">
      <c r="B2921" s="8"/>
      <c r="C2921" s="8"/>
      <c r="D2921" s="8"/>
      <c r="E2921" s="8"/>
    </row>
    <row r="2922" spans="2:6" ht="16">
      <c r="B2922" s="9" t="s">
        <v>4</v>
      </c>
      <c r="C2922" s="13" t="str">
        <f>C2866</f>
        <v>MEJORAMIENTO ESPACIO PUBLICO JJVV LUCILA GODOY ALCAYAGA</v>
      </c>
      <c r="D2922" s="13"/>
      <c r="E2922" s="13"/>
      <c r="F2922" s="14"/>
    </row>
    <row r="2923" spans="2:6" ht="16">
      <c r="B2923" s="12"/>
      <c r="C2923" s="8"/>
      <c r="D2923" s="8"/>
      <c r="E2923" s="8"/>
    </row>
    <row r="2924" spans="2:6" ht="16">
      <c r="B2924" s="9" t="s">
        <v>5</v>
      </c>
      <c r="C2924" s="13" t="s">
        <v>6</v>
      </c>
      <c r="D2924" s="13"/>
      <c r="E2924" s="13"/>
      <c r="F2924" s="14"/>
    </row>
    <row r="2925" spans="2:6" ht="16">
      <c r="B2925" s="9"/>
      <c r="C2925" s="13"/>
      <c r="D2925" s="13"/>
      <c r="E2925" s="13"/>
      <c r="F2925" s="14"/>
    </row>
    <row r="2926" spans="2:6" ht="16">
      <c r="B2926" s="9" t="s">
        <v>7</v>
      </c>
      <c r="C2926" s="13" t="str">
        <f>[1]LGA!A72</f>
        <v>3.2.7</v>
      </c>
      <c r="D2926" s="13"/>
      <c r="E2926" s="13"/>
      <c r="F2926" s="14"/>
    </row>
    <row r="2927" spans="2:6" ht="16">
      <c r="B2927" s="9" t="s">
        <v>8</v>
      </c>
      <c r="C2927" s="13" t="s">
        <v>207</v>
      </c>
      <c r="D2927" s="13"/>
      <c r="E2927" s="13"/>
      <c r="F2927" s="14"/>
    </row>
    <row r="2928" spans="2:6" ht="16">
      <c r="B2928" s="9" t="s">
        <v>10</v>
      </c>
      <c r="C2928" s="13" t="s">
        <v>182</v>
      </c>
      <c r="D2928" s="13"/>
      <c r="E2928" s="13"/>
      <c r="F2928" s="14"/>
    </row>
    <row r="2929" spans="2:6" ht="16">
      <c r="B2929" s="9" t="s">
        <v>12</v>
      </c>
      <c r="C2929" s="15">
        <f>C2873</f>
        <v>46024</v>
      </c>
      <c r="D2929" s="13"/>
      <c r="E2929" s="13"/>
      <c r="F2929" s="14"/>
    </row>
    <row r="2930" spans="2:6" ht="17" thickBot="1">
      <c r="B2930" s="8"/>
      <c r="C2930" s="8"/>
      <c r="D2930" s="8"/>
      <c r="E2930" s="8"/>
    </row>
    <row r="2931" spans="2:6" ht="15" thickTop="1" thickBot="1">
      <c r="B2931" s="16" t="s">
        <v>13</v>
      </c>
      <c r="C2931" s="17" t="s">
        <v>14</v>
      </c>
      <c r="D2931" s="17" t="s">
        <v>15</v>
      </c>
      <c r="E2931" s="17" t="s">
        <v>16</v>
      </c>
      <c r="F2931" s="18" t="s">
        <v>17</v>
      </c>
    </row>
    <row r="2932" spans="2:6" ht="14" thickTop="1">
      <c r="B2932" s="19"/>
      <c r="C2932" s="19"/>
      <c r="D2932" s="19"/>
      <c r="E2932" s="19"/>
      <c r="F2932" s="19"/>
    </row>
    <row r="2933" spans="2:6">
      <c r="B2933" s="20" t="s">
        <v>208</v>
      </c>
      <c r="C2933" s="21" t="s">
        <v>43</v>
      </c>
      <c r="D2933" s="21">
        <v>0.05</v>
      </c>
      <c r="E2933" s="22">
        <v>21000</v>
      </c>
      <c r="F2933" s="22">
        <f t="shared" ref="F2933:F2938" si="48">E2933*D2933</f>
        <v>1050</v>
      </c>
    </row>
    <row r="2934" spans="2:6">
      <c r="B2934" s="20"/>
      <c r="C2934" s="21"/>
      <c r="D2934" s="21"/>
      <c r="E2934" s="22"/>
      <c r="F2934" s="22">
        <f t="shared" si="48"/>
        <v>0</v>
      </c>
    </row>
    <row r="2935" spans="2:6">
      <c r="B2935" s="20"/>
      <c r="C2935" s="21"/>
      <c r="D2935" s="21"/>
      <c r="E2935" s="22"/>
      <c r="F2935" s="22">
        <f t="shared" si="48"/>
        <v>0</v>
      </c>
    </row>
    <row r="2936" spans="2:6">
      <c r="B2936" s="20"/>
      <c r="C2936" s="21"/>
      <c r="D2936" s="21"/>
      <c r="E2936" s="22"/>
      <c r="F2936" s="22">
        <f t="shared" si="48"/>
        <v>0</v>
      </c>
    </row>
    <row r="2937" spans="2:6">
      <c r="B2937" s="20"/>
      <c r="C2937" s="21"/>
      <c r="D2937" s="21"/>
      <c r="E2937" s="22"/>
      <c r="F2937" s="22">
        <f t="shared" si="48"/>
        <v>0</v>
      </c>
    </row>
    <row r="2938" spans="2:6">
      <c r="B2938" s="20"/>
      <c r="C2938" s="21"/>
      <c r="D2938" s="21"/>
      <c r="E2938" s="22"/>
      <c r="F2938" s="22">
        <f t="shared" si="48"/>
        <v>0</v>
      </c>
    </row>
    <row r="2939" spans="2:6" ht="17" thickBot="1">
      <c r="B2939" s="6" t="s">
        <v>19</v>
      </c>
      <c r="C2939" s="8"/>
      <c r="D2939" s="8"/>
      <c r="E2939" s="8"/>
      <c r="F2939" s="23">
        <f>SUM(F2933:F2938)</f>
        <v>1050</v>
      </c>
    </row>
    <row r="2940" spans="2:6" ht="17" thickBot="1">
      <c r="B2940" s="8"/>
      <c r="C2940" s="8"/>
      <c r="D2940" s="8"/>
      <c r="E2940" s="8"/>
    </row>
    <row r="2941" spans="2:6" ht="15" thickTop="1" thickBot="1">
      <c r="B2941" s="16" t="s">
        <v>20</v>
      </c>
      <c r="C2941" s="17" t="s">
        <v>14</v>
      </c>
      <c r="D2941" s="17" t="s">
        <v>15</v>
      </c>
      <c r="E2941" s="17" t="s">
        <v>16</v>
      </c>
      <c r="F2941" s="18" t="s">
        <v>17</v>
      </c>
    </row>
    <row r="2942" spans="2:6" ht="17" thickTop="1">
      <c r="B2942" s="8"/>
      <c r="C2942" s="8"/>
      <c r="D2942" s="8"/>
      <c r="E2942" s="8"/>
    </row>
    <row r="2943" spans="2:6">
      <c r="B2943" s="24" t="s">
        <v>21</v>
      </c>
      <c r="C2943" s="20" t="s">
        <v>22</v>
      </c>
      <c r="D2943" s="20">
        <v>4.3999999999999997E-2</v>
      </c>
      <c r="E2943" s="22">
        <v>27500</v>
      </c>
      <c r="F2943" s="25">
        <f>E2943*D2943</f>
        <v>1210</v>
      </c>
    </row>
    <row r="2944" spans="2:6">
      <c r="B2944" s="20" t="s">
        <v>23</v>
      </c>
      <c r="C2944" s="20" t="s">
        <v>22</v>
      </c>
      <c r="D2944" s="20">
        <v>4.3999999999999997E-2</v>
      </c>
      <c r="E2944" s="22">
        <v>15000</v>
      </c>
      <c r="F2944" s="25">
        <f>E2944*D2944</f>
        <v>660</v>
      </c>
    </row>
    <row r="2945" spans="2:6" ht="16">
      <c r="B2945" s="26"/>
      <c r="C2945" s="26"/>
      <c r="D2945" s="26"/>
      <c r="E2945" s="26"/>
      <c r="F2945" s="25">
        <f>E2945*D2945</f>
        <v>0</v>
      </c>
    </row>
    <row r="2946" spans="2:6" ht="16">
      <c r="B2946" s="26"/>
      <c r="C2946" s="26"/>
      <c r="D2946" s="26"/>
      <c r="E2946" s="26"/>
      <c r="F2946" s="25">
        <f>E2946*D2946</f>
        <v>0</v>
      </c>
    </row>
    <row r="2947" spans="2:6" ht="16">
      <c r="B2947" s="27" t="s">
        <v>25</v>
      </c>
      <c r="C2947" s="27" t="s">
        <v>26</v>
      </c>
      <c r="D2947" s="28">
        <v>0.32</v>
      </c>
      <c r="E2947" s="29">
        <f>SUM(E2943:E2946)*D2947</f>
        <v>13600</v>
      </c>
      <c r="F2947" s="25">
        <f>E2947*D2947</f>
        <v>4352</v>
      </c>
    </row>
    <row r="2948" spans="2:6" ht="16">
      <c r="B2948" s="8"/>
      <c r="C2948" s="8"/>
      <c r="D2948" s="8"/>
      <c r="E2948" s="8"/>
    </row>
    <row r="2949" spans="2:6" ht="17" thickBot="1">
      <c r="B2949" s="6" t="s">
        <v>27</v>
      </c>
      <c r="C2949" s="8"/>
      <c r="D2949" s="8"/>
      <c r="E2949" s="8"/>
      <c r="F2949" s="23">
        <f>SUM(F2943:F2948)</f>
        <v>6222</v>
      </c>
    </row>
    <row r="2950" spans="2:6" ht="17" thickBot="1">
      <c r="B2950" s="8"/>
      <c r="C2950" s="8"/>
      <c r="D2950" s="8"/>
      <c r="E2950" s="8"/>
    </row>
    <row r="2951" spans="2:6" ht="15" thickTop="1" thickBot="1">
      <c r="B2951" s="16" t="s">
        <v>28</v>
      </c>
      <c r="C2951" s="17" t="s">
        <v>14</v>
      </c>
      <c r="D2951" s="17" t="s">
        <v>15</v>
      </c>
      <c r="E2951" s="17" t="s">
        <v>16</v>
      </c>
      <c r="F2951" s="18" t="s">
        <v>17</v>
      </c>
    </row>
    <row r="2952" spans="2:6" ht="17" thickTop="1">
      <c r="B2952" s="8"/>
      <c r="C2952" s="8"/>
      <c r="D2952" s="8"/>
      <c r="E2952" s="8"/>
    </row>
    <row r="2953" spans="2:6">
      <c r="B2953" s="20"/>
      <c r="C2953" s="20"/>
      <c r="D2953" s="20"/>
      <c r="E2953" s="22"/>
      <c r="F2953" s="25">
        <f>E2953*D2953</f>
        <v>0</v>
      </c>
    </row>
    <row r="2954" spans="2:6">
      <c r="B2954" s="20" t="s">
        <v>31</v>
      </c>
      <c r="C2954" s="20" t="s">
        <v>32</v>
      </c>
      <c r="D2954" s="68">
        <v>0.01</v>
      </c>
      <c r="E2954" s="22">
        <v>25000</v>
      </c>
      <c r="F2954" s="25">
        <f>E2954*D2954</f>
        <v>250</v>
      </c>
    </row>
    <row r="2955" spans="2:6" ht="16">
      <c r="B2955" s="26"/>
      <c r="C2955" s="26"/>
      <c r="D2955" s="26"/>
      <c r="E2955" s="26"/>
      <c r="F2955" s="25">
        <f>E2955*D2955</f>
        <v>0</v>
      </c>
    </row>
    <row r="2956" spans="2:6" ht="16">
      <c r="B2956" s="26"/>
      <c r="C2956" s="26"/>
      <c r="D2956" s="26"/>
      <c r="E2956" s="26"/>
      <c r="F2956" s="25">
        <f>E2956*D2956</f>
        <v>0</v>
      </c>
    </row>
    <row r="2957" spans="2:6" ht="16">
      <c r="B2957" s="30"/>
      <c r="C2957" s="26"/>
      <c r="D2957" s="26"/>
      <c r="E2957" s="26"/>
      <c r="F2957" s="25">
        <f>E2957*D2957</f>
        <v>0</v>
      </c>
    </row>
    <row r="2958" spans="2:6" ht="16">
      <c r="B2958" s="8"/>
      <c r="C2958" s="8"/>
      <c r="D2958" s="8"/>
      <c r="E2958" s="8"/>
    </row>
    <row r="2959" spans="2:6" ht="14" thickBot="1">
      <c r="B2959" s="19" t="s">
        <v>33</v>
      </c>
      <c r="C2959" s="19"/>
      <c r="D2959" s="19"/>
      <c r="E2959" s="19"/>
      <c r="F2959" s="23">
        <f>SUM(F2953:F2958)</f>
        <v>250</v>
      </c>
    </row>
    <row r="2960" spans="2:6" ht="16">
      <c r="B2960" s="8"/>
      <c r="C2960" s="8"/>
      <c r="D2960" s="8"/>
      <c r="E2960" s="8"/>
    </row>
    <row r="2961" spans="2:6" ht="17" thickBot="1">
      <c r="B2961" s="8"/>
      <c r="C2961" s="8"/>
      <c r="D2961" s="8"/>
      <c r="E2961" s="8"/>
    </row>
    <row r="2962" spans="2:6" ht="17" thickBot="1">
      <c r="B2962" s="31" t="s">
        <v>34</v>
      </c>
      <c r="C2962" s="13"/>
      <c r="D2962" s="13"/>
      <c r="E2962" s="13"/>
      <c r="F2962" s="32">
        <f>F2939+F2949+F2959</f>
        <v>7522</v>
      </c>
    </row>
    <row r="2963" spans="2:6" ht="17" thickBot="1">
      <c r="B2963" s="31" t="s">
        <v>35</v>
      </c>
      <c r="C2963" s="13"/>
      <c r="D2963" s="13"/>
      <c r="E2963" s="33">
        <v>0.1</v>
      </c>
      <c r="F2963" s="32">
        <f>F2962*E2963</f>
        <v>752.2</v>
      </c>
    </row>
    <row r="2964" spans="2:6" ht="17" thickBot="1">
      <c r="B2964" s="31" t="s">
        <v>36</v>
      </c>
      <c r="C2964" s="13"/>
      <c r="D2964" s="13"/>
      <c r="E2964" s="33">
        <v>0.1</v>
      </c>
      <c r="F2964" s="32">
        <f>F2962*E2964</f>
        <v>752.2</v>
      </c>
    </row>
    <row r="2965" spans="2:6" ht="17" thickBot="1">
      <c r="B2965" s="34" t="s">
        <v>37</v>
      </c>
      <c r="C2965" s="35"/>
      <c r="D2965" s="35"/>
      <c r="E2965" s="35"/>
      <c r="F2965" s="32">
        <f>SUM(F2962:F2964)</f>
        <v>9026.4000000000015</v>
      </c>
    </row>
    <row r="2966" spans="2:6" ht="17" thickBot="1">
      <c r="B2966" s="36"/>
      <c r="C2966" s="8"/>
      <c r="D2966" s="8"/>
      <c r="E2966" s="8"/>
    </row>
    <row r="2967" spans="2:6" ht="18" thickTop="1" thickBot="1">
      <c r="B2967" s="37" t="s">
        <v>38</v>
      </c>
      <c r="C2967" s="8"/>
      <c r="D2967" s="8"/>
      <c r="E2967" s="8"/>
    </row>
    <row r="2968" spans="2:6" ht="18" thickTop="1" thickBot="1">
      <c r="B2968" s="8"/>
      <c r="C2968" s="8"/>
      <c r="D2968" s="8"/>
      <c r="E2968" s="8"/>
    </row>
    <row r="2969" spans="2:6" ht="17" thickTop="1">
      <c r="B2969" s="38"/>
      <c r="C2969" s="13"/>
      <c r="D2969" s="13"/>
      <c r="E2969" s="39"/>
      <c r="F2969" s="40"/>
    </row>
    <row r="2970" spans="2:6" ht="16">
      <c r="B2970" s="38"/>
      <c r="C2970" s="13"/>
      <c r="D2970" s="13"/>
      <c r="E2970" s="41"/>
      <c r="F2970" s="42"/>
    </row>
    <row r="2971" spans="2:6" ht="16">
      <c r="B2971" s="38"/>
      <c r="C2971" s="13"/>
      <c r="D2971" s="13"/>
      <c r="E2971" s="41"/>
      <c r="F2971" s="42"/>
    </row>
    <row r="2972" spans="2:6" ht="17" thickBot="1">
      <c r="B2972" s="54"/>
      <c r="C2972" s="35"/>
      <c r="D2972" s="35"/>
      <c r="E2972" s="44"/>
      <c r="F2972" s="45"/>
    </row>
    <row r="2973" spans="2:6" ht="17" thickTop="1">
      <c r="B2973" s="46"/>
      <c r="C2973" s="46"/>
      <c r="D2973" s="46"/>
      <c r="E2973" s="47"/>
      <c r="F2973" s="47"/>
    </row>
    <row r="2975" spans="2:6" ht="14" thickBot="1">
      <c r="B2975" s="1" t="s">
        <v>0</v>
      </c>
      <c r="C2975" s="1"/>
    </row>
    <row r="2976" spans="2:6" ht="17" thickBot="1">
      <c r="B2976" s="1" t="s">
        <v>1</v>
      </c>
      <c r="C2976" s="1"/>
      <c r="E2976" s="4" t="s">
        <v>2</v>
      </c>
      <c r="F2976" s="5"/>
    </row>
    <row r="2977" spans="2:6">
      <c r="B2977" s="6"/>
    </row>
    <row r="2978" spans="2:6" ht="16">
      <c r="B2978" s="7" t="s">
        <v>3</v>
      </c>
      <c r="C2978" s="7"/>
      <c r="D2978" s="7"/>
      <c r="E2978" s="7"/>
      <c r="F2978" s="7"/>
    </row>
    <row r="2979" spans="2:6" ht="16">
      <c r="B2979" s="8"/>
      <c r="C2979" s="8"/>
      <c r="D2979" s="8"/>
      <c r="E2979" s="8"/>
    </row>
    <row r="2980" spans="2:6" ht="16">
      <c r="B2980" s="9" t="s">
        <v>4</v>
      </c>
      <c r="C2980" s="13" t="str">
        <f>C2866</f>
        <v>MEJORAMIENTO ESPACIO PUBLICO JJVV LUCILA GODOY ALCAYAGA</v>
      </c>
      <c r="D2980" s="13"/>
      <c r="E2980" s="13"/>
      <c r="F2980" s="14"/>
    </row>
    <row r="2981" spans="2:6" ht="16">
      <c r="B2981" s="12"/>
      <c r="C2981" s="8"/>
      <c r="D2981" s="8"/>
      <c r="E2981" s="8"/>
    </row>
    <row r="2982" spans="2:6" ht="16">
      <c r="B2982" s="9" t="s">
        <v>5</v>
      </c>
      <c r="C2982" s="13" t="s">
        <v>6</v>
      </c>
      <c r="D2982" s="13"/>
      <c r="E2982" s="13"/>
      <c r="F2982" s="14"/>
    </row>
    <row r="2983" spans="2:6" ht="16">
      <c r="B2983" s="9"/>
      <c r="C2983" s="13"/>
      <c r="D2983" s="13"/>
      <c r="E2983" s="13"/>
      <c r="F2983" s="14"/>
    </row>
    <row r="2984" spans="2:6" ht="16">
      <c r="B2984" s="9" t="s">
        <v>7</v>
      </c>
      <c r="C2984" s="13" t="str">
        <f>[1]LGA!A74</f>
        <v>3.3.1</v>
      </c>
      <c r="D2984" s="13"/>
      <c r="E2984" s="13"/>
      <c r="F2984" s="14"/>
    </row>
    <row r="2985" spans="2:6" ht="16">
      <c r="B2985" s="9" t="s">
        <v>8</v>
      </c>
      <c r="C2985" s="13" t="s">
        <v>209</v>
      </c>
      <c r="D2985" s="13"/>
      <c r="E2985" s="13"/>
      <c r="F2985" s="14"/>
    </row>
    <row r="2986" spans="2:6" ht="16">
      <c r="B2986" s="9" t="s">
        <v>10</v>
      </c>
      <c r="C2986" s="13" t="s">
        <v>95</v>
      </c>
      <c r="D2986" s="13"/>
      <c r="E2986" s="13"/>
      <c r="F2986" s="14"/>
    </row>
    <row r="2987" spans="2:6" ht="16">
      <c r="B2987" s="9" t="s">
        <v>12</v>
      </c>
      <c r="C2987" s="15">
        <f>C2873</f>
        <v>46024</v>
      </c>
      <c r="D2987" s="13"/>
      <c r="E2987" s="13"/>
      <c r="F2987" s="14"/>
    </row>
    <row r="2988" spans="2:6" ht="17" thickBot="1">
      <c r="B2988" s="8"/>
      <c r="C2988" s="8"/>
      <c r="D2988" s="8"/>
      <c r="E2988" s="8"/>
    </row>
    <row r="2989" spans="2:6" ht="15" thickTop="1" thickBot="1">
      <c r="B2989" s="16" t="s">
        <v>13</v>
      </c>
      <c r="C2989" s="17" t="s">
        <v>14</v>
      </c>
      <c r="D2989" s="17" t="s">
        <v>15</v>
      </c>
      <c r="E2989" s="17" t="s">
        <v>16</v>
      </c>
      <c r="F2989" s="18" t="s">
        <v>17</v>
      </c>
    </row>
    <row r="2990" spans="2:6" ht="14" thickTop="1">
      <c r="B2990" s="19"/>
      <c r="C2990" s="19"/>
      <c r="D2990" s="19"/>
      <c r="E2990" s="19"/>
      <c r="F2990" s="19"/>
    </row>
    <row r="2991" spans="2:6">
      <c r="B2991" s="20" t="s">
        <v>210</v>
      </c>
      <c r="C2991" s="21" t="s">
        <v>56</v>
      </c>
      <c r="D2991" s="21">
        <v>3.0000000000000001E-3</v>
      </c>
      <c r="E2991" s="22">
        <v>150000</v>
      </c>
      <c r="F2991" s="22">
        <f t="shared" ref="F2991:F2996" si="49">E2991*D2991</f>
        <v>450</v>
      </c>
    </row>
    <row r="2992" spans="2:6">
      <c r="B2992" s="20"/>
      <c r="C2992" s="21"/>
      <c r="D2992" s="21"/>
      <c r="E2992" s="22"/>
      <c r="F2992" s="22">
        <f t="shared" si="49"/>
        <v>0</v>
      </c>
    </row>
    <row r="2993" spans="2:6">
      <c r="B2993" s="20"/>
      <c r="C2993" s="21"/>
      <c r="D2993" s="21"/>
      <c r="E2993" s="22"/>
      <c r="F2993" s="22">
        <f t="shared" si="49"/>
        <v>0</v>
      </c>
    </row>
    <row r="2994" spans="2:6">
      <c r="B2994" s="20"/>
      <c r="C2994" s="21"/>
      <c r="D2994" s="21"/>
      <c r="E2994" s="22"/>
      <c r="F2994" s="22">
        <f t="shared" si="49"/>
        <v>0</v>
      </c>
    </row>
    <row r="2995" spans="2:6">
      <c r="B2995" s="20"/>
      <c r="C2995" s="21"/>
      <c r="D2995" s="21"/>
      <c r="E2995" s="22"/>
      <c r="F2995" s="22">
        <f t="shared" si="49"/>
        <v>0</v>
      </c>
    </row>
    <row r="2996" spans="2:6">
      <c r="B2996" s="20"/>
      <c r="C2996" s="21"/>
      <c r="D2996" s="21"/>
      <c r="E2996" s="22"/>
      <c r="F2996" s="22">
        <f t="shared" si="49"/>
        <v>0</v>
      </c>
    </row>
    <row r="2997" spans="2:6" ht="17" thickBot="1">
      <c r="B2997" s="6" t="s">
        <v>19</v>
      </c>
      <c r="C2997" s="8"/>
      <c r="D2997" s="8"/>
      <c r="E2997" s="8"/>
      <c r="F2997" s="23">
        <f>SUM(F2991:F2996)</f>
        <v>450</v>
      </c>
    </row>
    <row r="2998" spans="2:6" ht="17" thickBot="1">
      <c r="B2998" s="8"/>
      <c r="C2998" s="8"/>
      <c r="D2998" s="8"/>
      <c r="E2998" s="8"/>
    </row>
    <row r="2999" spans="2:6" ht="15" thickTop="1" thickBot="1">
      <c r="B2999" s="16" t="s">
        <v>20</v>
      </c>
      <c r="C2999" s="17" t="s">
        <v>14</v>
      </c>
      <c r="D2999" s="17" t="s">
        <v>15</v>
      </c>
      <c r="E2999" s="17" t="s">
        <v>16</v>
      </c>
      <c r="F2999" s="18" t="s">
        <v>17</v>
      </c>
    </row>
    <row r="3000" spans="2:6" ht="17" thickTop="1">
      <c r="B3000" s="8"/>
      <c r="C3000" s="8"/>
      <c r="D3000" s="8"/>
      <c r="E3000" s="8"/>
    </row>
    <row r="3001" spans="2:6">
      <c r="B3001" s="24" t="s">
        <v>211</v>
      </c>
      <c r="C3001" s="20" t="s">
        <v>22</v>
      </c>
      <c r="D3001" s="20">
        <v>4.3999999999999997E-2</v>
      </c>
      <c r="E3001" s="22">
        <v>27500</v>
      </c>
      <c r="F3001" s="25">
        <f>E3001*D3001</f>
        <v>1210</v>
      </c>
    </row>
    <row r="3002" spans="2:6">
      <c r="B3002" s="20" t="s">
        <v>23</v>
      </c>
      <c r="C3002" s="20" t="s">
        <v>22</v>
      </c>
      <c r="D3002" s="20">
        <v>4.3999999999999997E-2</v>
      </c>
      <c r="E3002" s="22">
        <v>15000</v>
      </c>
      <c r="F3002" s="25">
        <f>E3002*D3002</f>
        <v>660</v>
      </c>
    </row>
    <row r="3003" spans="2:6" ht="16">
      <c r="B3003" s="26"/>
      <c r="C3003" s="26"/>
      <c r="D3003" s="26"/>
      <c r="E3003" s="26"/>
      <c r="F3003" s="25">
        <f>E3003*D3003</f>
        <v>0</v>
      </c>
    </row>
    <row r="3004" spans="2:6" ht="16">
      <c r="B3004" s="26"/>
      <c r="C3004" s="26"/>
      <c r="D3004" s="26"/>
      <c r="E3004" s="26"/>
      <c r="F3004" s="25">
        <f>E3004*D3004</f>
        <v>0</v>
      </c>
    </row>
    <row r="3005" spans="2:6" ht="16">
      <c r="B3005" s="27" t="s">
        <v>25</v>
      </c>
      <c r="C3005" s="27" t="s">
        <v>26</v>
      </c>
      <c r="D3005" s="28">
        <v>0.32</v>
      </c>
      <c r="E3005" s="29">
        <f>SUM(E3001:E3004)*D3005</f>
        <v>13600</v>
      </c>
      <c r="F3005" s="25">
        <f>E3005*D3005</f>
        <v>4352</v>
      </c>
    </row>
    <row r="3006" spans="2:6" ht="16">
      <c r="B3006" s="8"/>
      <c r="C3006" s="8"/>
      <c r="D3006" s="8"/>
      <c r="E3006" s="8"/>
    </row>
    <row r="3007" spans="2:6" ht="17" thickBot="1">
      <c r="B3007" s="6" t="s">
        <v>27</v>
      </c>
      <c r="C3007" s="8"/>
      <c r="D3007" s="8"/>
      <c r="E3007" s="8"/>
      <c r="F3007" s="23">
        <f>SUM(F3001:F3006)</f>
        <v>6222</v>
      </c>
    </row>
    <row r="3008" spans="2:6" ht="17" thickBot="1">
      <c r="B3008" s="8"/>
      <c r="C3008" s="8"/>
      <c r="D3008" s="8"/>
      <c r="E3008" s="8"/>
    </row>
    <row r="3009" spans="2:6" ht="15" thickTop="1" thickBot="1">
      <c r="B3009" s="16" t="s">
        <v>28</v>
      </c>
      <c r="C3009" s="17" t="s">
        <v>14</v>
      </c>
      <c r="D3009" s="17" t="s">
        <v>15</v>
      </c>
      <c r="E3009" s="17" t="s">
        <v>16</v>
      </c>
      <c r="F3009" s="18" t="s">
        <v>17</v>
      </c>
    </row>
    <row r="3010" spans="2:6" ht="17" thickTop="1">
      <c r="B3010" s="8"/>
      <c r="C3010" s="8"/>
      <c r="D3010" s="8"/>
      <c r="E3010" s="8"/>
    </row>
    <row r="3011" spans="2:6">
      <c r="B3011" s="20" t="s">
        <v>212</v>
      </c>
      <c r="C3011" s="20" t="s">
        <v>32</v>
      </c>
      <c r="D3011" s="71">
        <v>2E-3</v>
      </c>
      <c r="E3011" s="22">
        <v>35000</v>
      </c>
      <c r="F3011" s="25">
        <f>E3011*D3011</f>
        <v>70</v>
      </c>
    </row>
    <row r="3012" spans="2:6">
      <c r="B3012" s="20" t="s">
        <v>213</v>
      </c>
      <c r="C3012" s="20" t="s">
        <v>30</v>
      </c>
      <c r="D3012" s="71">
        <v>1E-3</v>
      </c>
      <c r="E3012" s="22">
        <v>54000</v>
      </c>
      <c r="F3012" s="25">
        <f>E3012*D3012</f>
        <v>54</v>
      </c>
    </row>
    <row r="3013" spans="2:6" ht="16">
      <c r="B3013" s="26"/>
      <c r="C3013" s="26"/>
      <c r="D3013" s="26"/>
      <c r="E3013" s="26"/>
      <c r="F3013" s="25">
        <f>E3013*D3013</f>
        <v>0</v>
      </c>
    </row>
    <row r="3014" spans="2:6" ht="16">
      <c r="B3014" s="26"/>
      <c r="C3014" s="26"/>
      <c r="D3014" s="26"/>
      <c r="E3014" s="26"/>
      <c r="F3014" s="25">
        <f>E3014*D3014</f>
        <v>0</v>
      </c>
    </row>
    <row r="3015" spans="2:6" ht="16">
      <c r="B3015" s="30"/>
      <c r="C3015" s="26"/>
      <c r="D3015" s="26"/>
      <c r="E3015" s="26"/>
      <c r="F3015" s="25">
        <f>E3015*D3015</f>
        <v>0</v>
      </c>
    </row>
    <row r="3016" spans="2:6" ht="16">
      <c r="B3016" s="8"/>
      <c r="C3016" s="8"/>
      <c r="D3016" s="8"/>
      <c r="E3016" s="8"/>
    </row>
    <row r="3017" spans="2:6" ht="14" thickBot="1">
      <c r="B3017" s="19" t="s">
        <v>33</v>
      </c>
      <c r="C3017" s="19"/>
      <c r="D3017" s="19"/>
      <c r="E3017" s="19"/>
      <c r="F3017" s="23">
        <f>SUM(F3011:F3016)</f>
        <v>124</v>
      </c>
    </row>
    <row r="3018" spans="2:6" ht="16">
      <c r="B3018" s="8"/>
      <c r="C3018" s="8"/>
      <c r="D3018" s="8"/>
      <c r="E3018" s="8"/>
    </row>
    <row r="3019" spans="2:6" ht="17" thickBot="1">
      <c r="B3019" s="8"/>
      <c r="C3019" s="8"/>
      <c r="D3019" s="8"/>
      <c r="E3019" s="8"/>
    </row>
    <row r="3020" spans="2:6" ht="17" thickBot="1">
      <c r="B3020" s="31" t="s">
        <v>34</v>
      </c>
      <c r="C3020" s="13"/>
      <c r="D3020" s="13"/>
      <c r="E3020" s="13"/>
      <c r="F3020" s="32">
        <f>F2997+F3007+F3017</f>
        <v>6796</v>
      </c>
    </row>
    <row r="3021" spans="2:6" ht="17" thickBot="1">
      <c r="B3021" s="31" t="s">
        <v>35</v>
      </c>
      <c r="C3021" s="13"/>
      <c r="D3021" s="13"/>
      <c r="E3021" s="33">
        <v>0.1</v>
      </c>
      <c r="F3021" s="32">
        <f>F3020*E3021</f>
        <v>679.6</v>
      </c>
    </row>
    <row r="3022" spans="2:6" ht="17" thickBot="1">
      <c r="B3022" s="31" t="s">
        <v>36</v>
      </c>
      <c r="C3022" s="13"/>
      <c r="D3022" s="13"/>
      <c r="E3022" s="33">
        <v>0.1</v>
      </c>
      <c r="F3022" s="32">
        <f>F3020*E3022</f>
        <v>679.6</v>
      </c>
    </row>
    <row r="3023" spans="2:6" ht="17" thickBot="1">
      <c r="B3023" s="34" t="s">
        <v>37</v>
      </c>
      <c r="C3023" s="35"/>
      <c r="D3023" s="35"/>
      <c r="E3023" s="35"/>
      <c r="F3023" s="32">
        <f>SUM(F3020:F3022)</f>
        <v>8155.2000000000007</v>
      </c>
    </row>
    <row r="3024" spans="2:6" ht="17" thickBot="1">
      <c r="B3024" s="36"/>
      <c r="C3024" s="8"/>
      <c r="D3024" s="8"/>
      <c r="E3024" s="8"/>
    </row>
    <row r="3025" spans="2:6" ht="18" thickTop="1" thickBot="1">
      <c r="B3025" s="37" t="s">
        <v>38</v>
      </c>
      <c r="C3025" s="8"/>
      <c r="D3025" s="8"/>
      <c r="E3025" s="8"/>
    </row>
    <row r="3026" spans="2:6" ht="18" thickTop="1" thickBot="1">
      <c r="B3026" s="8"/>
      <c r="C3026" s="8"/>
      <c r="D3026" s="8"/>
      <c r="E3026" s="8"/>
    </row>
    <row r="3027" spans="2:6" ht="17" thickTop="1">
      <c r="B3027" s="38"/>
      <c r="C3027" s="13"/>
      <c r="D3027" s="13"/>
      <c r="E3027" s="39"/>
      <c r="F3027" s="40"/>
    </row>
    <row r="3028" spans="2:6" ht="16">
      <c r="B3028" s="38"/>
      <c r="C3028" s="13"/>
      <c r="D3028" s="13"/>
      <c r="E3028" s="41"/>
      <c r="F3028" s="42"/>
    </row>
    <row r="3029" spans="2:6" ht="16">
      <c r="B3029" s="38"/>
      <c r="C3029" s="13"/>
      <c r="D3029" s="13"/>
      <c r="E3029" s="41"/>
      <c r="F3029" s="42"/>
    </row>
    <row r="3030" spans="2:6" ht="17" thickBot="1">
      <c r="B3030" s="54"/>
      <c r="C3030" s="35"/>
      <c r="D3030" s="35"/>
      <c r="E3030" s="44"/>
      <c r="F3030" s="45"/>
    </row>
    <row r="3031" spans="2:6" ht="14" thickTop="1"/>
    <row r="3032" spans="2:6" ht="14" thickBot="1">
      <c r="B3032" s="1" t="s">
        <v>0</v>
      </c>
      <c r="C3032" s="1"/>
    </row>
    <row r="3033" spans="2:6" ht="17" thickBot="1">
      <c r="B3033" s="1" t="s">
        <v>1</v>
      </c>
      <c r="C3033" s="1"/>
      <c r="E3033" s="4" t="s">
        <v>2</v>
      </c>
      <c r="F3033" s="5"/>
    </row>
    <row r="3034" spans="2:6">
      <c r="B3034" s="6"/>
    </row>
    <row r="3035" spans="2:6" ht="16">
      <c r="B3035" s="7" t="s">
        <v>3</v>
      </c>
      <c r="C3035" s="7"/>
      <c r="D3035" s="7"/>
      <c r="E3035" s="7"/>
      <c r="F3035" s="7"/>
    </row>
    <row r="3036" spans="2:6" ht="16">
      <c r="B3036" s="8"/>
      <c r="C3036" s="8"/>
      <c r="D3036" s="8"/>
      <c r="E3036" s="8"/>
    </row>
    <row r="3037" spans="2:6" ht="16">
      <c r="B3037" s="9" t="s">
        <v>4</v>
      </c>
      <c r="C3037" s="13" t="str">
        <f>C2980</f>
        <v>MEJORAMIENTO ESPACIO PUBLICO JJVV LUCILA GODOY ALCAYAGA</v>
      </c>
      <c r="D3037" s="13"/>
      <c r="E3037" s="13"/>
      <c r="F3037" s="14"/>
    </row>
    <row r="3038" spans="2:6" ht="16">
      <c r="B3038" s="12"/>
      <c r="C3038" s="8"/>
      <c r="D3038" s="8"/>
      <c r="E3038" s="8"/>
    </row>
    <row r="3039" spans="2:6" ht="16">
      <c r="B3039" s="9" t="s">
        <v>5</v>
      </c>
      <c r="C3039" s="13" t="s">
        <v>6</v>
      </c>
      <c r="D3039" s="13"/>
      <c r="E3039" s="13"/>
      <c r="F3039" s="14"/>
    </row>
    <row r="3040" spans="2:6" ht="16">
      <c r="B3040" s="9"/>
      <c r="C3040" s="13"/>
      <c r="D3040" s="13"/>
      <c r="E3040" s="13"/>
      <c r="F3040" s="14"/>
    </row>
    <row r="3041" spans="2:6" ht="16">
      <c r="B3041" s="9" t="s">
        <v>7</v>
      </c>
      <c r="C3041" s="13" t="str">
        <f>[1]LGA!A75</f>
        <v>3.3.2</v>
      </c>
      <c r="D3041" s="13"/>
      <c r="E3041" s="13"/>
      <c r="F3041" s="14"/>
    </row>
    <row r="3042" spans="2:6" ht="16">
      <c r="B3042" s="9" t="s">
        <v>8</v>
      </c>
      <c r="C3042" s="13" t="s">
        <v>214</v>
      </c>
      <c r="D3042" s="13"/>
      <c r="E3042" s="13"/>
      <c r="F3042" s="14"/>
    </row>
    <row r="3043" spans="2:6" ht="16">
      <c r="B3043" s="9" t="s">
        <v>10</v>
      </c>
      <c r="C3043" s="13" t="s">
        <v>95</v>
      </c>
      <c r="D3043" s="13"/>
      <c r="E3043" s="13"/>
      <c r="F3043" s="14"/>
    </row>
    <row r="3044" spans="2:6" ht="16">
      <c r="B3044" s="9" t="s">
        <v>12</v>
      </c>
      <c r="C3044" s="15">
        <f>C2987</f>
        <v>46024</v>
      </c>
      <c r="D3044" s="13"/>
      <c r="E3044" s="13"/>
      <c r="F3044" s="14"/>
    </row>
    <row r="3045" spans="2:6" ht="17" thickBot="1">
      <c r="B3045" s="8"/>
      <c r="C3045" s="8"/>
      <c r="D3045" s="8"/>
      <c r="E3045" s="8"/>
    </row>
    <row r="3046" spans="2:6" ht="15" thickTop="1" thickBot="1">
      <c r="B3046" s="16" t="s">
        <v>13</v>
      </c>
      <c r="C3046" s="17" t="s">
        <v>14</v>
      </c>
      <c r="D3046" s="17" t="s">
        <v>15</v>
      </c>
      <c r="E3046" s="17" t="s">
        <v>16</v>
      </c>
      <c r="F3046" s="18" t="s">
        <v>17</v>
      </c>
    </row>
    <row r="3047" spans="2:6" ht="14" thickTop="1">
      <c r="B3047" s="19"/>
      <c r="C3047" s="19"/>
      <c r="D3047" s="19"/>
      <c r="E3047" s="19"/>
      <c r="F3047" s="19"/>
    </row>
    <row r="3048" spans="2:6">
      <c r="B3048" s="20" t="s">
        <v>215</v>
      </c>
      <c r="C3048" s="21" t="s">
        <v>56</v>
      </c>
      <c r="D3048" s="21">
        <v>0.02</v>
      </c>
      <c r="E3048" s="22">
        <v>160000</v>
      </c>
      <c r="F3048" s="22">
        <f t="shared" ref="F3048:F3053" si="50">E3048*D3048</f>
        <v>3200</v>
      </c>
    </row>
    <row r="3049" spans="2:6">
      <c r="B3049" s="20"/>
      <c r="C3049" s="21"/>
      <c r="D3049" s="21"/>
      <c r="E3049" s="22"/>
      <c r="F3049" s="22">
        <f t="shared" si="50"/>
        <v>0</v>
      </c>
    </row>
    <row r="3050" spans="2:6">
      <c r="B3050" s="20"/>
      <c r="C3050" s="21"/>
      <c r="D3050" s="21"/>
      <c r="E3050" s="22"/>
      <c r="F3050" s="22">
        <f t="shared" si="50"/>
        <v>0</v>
      </c>
    </row>
    <row r="3051" spans="2:6">
      <c r="B3051" s="20"/>
      <c r="C3051" s="21"/>
      <c r="D3051" s="21"/>
      <c r="E3051" s="22"/>
      <c r="F3051" s="22">
        <f t="shared" si="50"/>
        <v>0</v>
      </c>
    </row>
    <row r="3052" spans="2:6">
      <c r="B3052" s="20"/>
      <c r="C3052" s="21"/>
      <c r="D3052" s="21"/>
      <c r="E3052" s="22"/>
      <c r="F3052" s="22">
        <f t="shared" si="50"/>
        <v>0</v>
      </c>
    </row>
    <row r="3053" spans="2:6">
      <c r="B3053" s="20"/>
      <c r="C3053" s="21"/>
      <c r="D3053" s="21"/>
      <c r="E3053" s="22"/>
      <c r="F3053" s="22">
        <f t="shared" si="50"/>
        <v>0</v>
      </c>
    </row>
    <row r="3054" spans="2:6" ht="17" thickBot="1">
      <c r="B3054" s="6" t="s">
        <v>19</v>
      </c>
      <c r="C3054" s="8"/>
      <c r="D3054" s="8"/>
      <c r="E3054" s="8"/>
      <c r="F3054" s="23">
        <f>SUM(F3048:F3053)</f>
        <v>3200</v>
      </c>
    </row>
    <row r="3055" spans="2:6" ht="17" thickBot="1">
      <c r="B3055" s="8"/>
      <c r="C3055" s="8"/>
      <c r="D3055" s="8"/>
      <c r="E3055" s="8"/>
    </row>
    <row r="3056" spans="2:6" ht="15" thickTop="1" thickBot="1">
      <c r="B3056" s="16" t="s">
        <v>20</v>
      </c>
      <c r="C3056" s="17" t="s">
        <v>14</v>
      </c>
      <c r="D3056" s="17" t="s">
        <v>15</v>
      </c>
      <c r="E3056" s="17" t="s">
        <v>16</v>
      </c>
      <c r="F3056" s="18" t="s">
        <v>17</v>
      </c>
    </row>
    <row r="3057" spans="2:6" ht="17" thickTop="1">
      <c r="B3057" s="8"/>
      <c r="C3057" s="8"/>
      <c r="D3057" s="8"/>
      <c r="E3057" s="8"/>
    </row>
    <row r="3058" spans="2:6">
      <c r="B3058" s="24" t="s">
        <v>211</v>
      </c>
      <c r="C3058" s="20" t="s">
        <v>22</v>
      </c>
      <c r="D3058" s="20">
        <v>4.4000000000000003E-3</v>
      </c>
      <c r="E3058" s="22">
        <v>27500</v>
      </c>
      <c r="F3058" s="25">
        <f>E3058*D3058</f>
        <v>121.00000000000001</v>
      </c>
    </row>
    <row r="3059" spans="2:6">
      <c r="B3059" s="20" t="s">
        <v>23</v>
      </c>
      <c r="C3059" s="20" t="s">
        <v>22</v>
      </c>
      <c r="D3059" s="20">
        <v>4.4000000000000003E-3</v>
      </c>
      <c r="E3059" s="22">
        <v>15000</v>
      </c>
      <c r="F3059" s="25">
        <f>E3059*D3059</f>
        <v>66</v>
      </c>
    </row>
    <row r="3060" spans="2:6" ht="16">
      <c r="B3060" s="26"/>
      <c r="C3060" s="26"/>
      <c r="D3060" s="26"/>
      <c r="E3060" s="26"/>
      <c r="F3060" s="25">
        <f>E3060*D3060</f>
        <v>0</v>
      </c>
    </row>
    <row r="3061" spans="2:6" ht="16">
      <c r="B3061" s="26"/>
      <c r="C3061" s="26"/>
      <c r="D3061" s="26"/>
      <c r="E3061" s="26"/>
      <c r="F3061" s="25">
        <f>E3061*D3061</f>
        <v>0</v>
      </c>
    </row>
    <row r="3062" spans="2:6" ht="16">
      <c r="B3062" s="27" t="s">
        <v>25</v>
      </c>
      <c r="C3062" s="27" t="s">
        <v>26</v>
      </c>
      <c r="D3062" s="28">
        <v>0.32</v>
      </c>
      <c r="E3062" s="29">
        <f>SUM(E3058:E3061)*D3062</f>
        <v>13600</v>
      </c>
      <c r="F3062" s="25">
        <f>E3062*D3062</f>
        <v>4352</v>
      </c>
    </row>
    <row r="3063" spans="2:6" ht="16">
      <c r="B3063" s="8"/>
      <c r="C3063" s="8"/>
      <c r="D3063" s="8"/>
      <c r="E3063" s="8"/>
    </row>
    <row r="3064" spans="2:6" ht="17" thickBot="1">
      <c r="B3064" s="6" t="s">
        <v>27</v>
      </c>
      <c r="C3064" s="8"/>
      <c r="D3064" s="8"/>
      <c r="E3064" s="8"/>
      <c r="F3064" s="23">
        <f>SUM(F3058:F3063)</f>
        <v>4539</v>
      </c>
    </row>
    <row r="3065" spans="2:6" ht="17" thickBot="1">
      <c r="B3065" s="8"/>
      <c r="C3065" s="8"/>
      <c r="D3065" s="8"/>
      <c r="E3065" s="8"/>
    </row>
    <row r="3066" spans="2:6" ht="15" thickTop="1" thickBot="1">
      <c r="B3066" s="16" t="s">
        <v>28</v>
      </c>
      <c r="C3066" s="17" t="s">
        <v>14</v>
      </c>
      <c r="D3066" s="17" t="s">
        <v>15</v>
      </c>
      <c r="E3066" s="17" t="s">
        <v>16</v>
      </c>
      <c r="F3066" s="18" t="s">
        <v>17</v>
      </c>
    </row>
    <row r="3067" spans="2:6" ht="17" thickTop="1">
      <c r="B3067" s="8"/>
      <c r="C3067" s="8"/>
      <c r="D3067" s="8"/>
      <c r="E3067" s="8"/>
    </row>
    <row r="3068" spans="2:6">
      <c r="B3068" s="20" t="s">
        <v>212</v>
      </c>
      <c r="C3068" s="20" t="s">
        <v>32</v>
      </c>
      <c r="D3068" s="71">
        <v>2E-3</v>
      </c>
      <c r="E3068" s="22">
        <v>35000</v>
      </c>
      <c r="F3068" s="25">
        <f>E3068*D3068</f>
        <v>70</v>
      </c>
    </row>
    <row r="3069" spans="2:6">
      <c r="B3069" s="20" t="s">
        <v>213</v>
      </c>
      <c r="C3069" s="20" t="s">
        <v>30</v>
      </c>
      <c r="D3069" s="71">
        <v>1E-3</v>
      </c>
      <c r="E3069" s="22">
        <v>54000</v>
      </c>
      <c r="F3069" s="25">
        <f>E3069*D3069</f>
        <v>54</v>
      </c>
    </row>
    <row r="3070" spans="2:6" ht="16">
      <c r="B3070" s="26"/>
      <c r="C3070" s="26"/>
      <c r="D3070" s="26"/>
      <c r="E3070" s="26"/>
      <c r="F3070" s="25">
        <f>E3070*D3070</f>
        <v>0</v>
      </c>
    </row>
    <row r="3071" spans="2:6" ht="16">
      <c r="B3071" s="26"/>
      <c r="C3071" s="26"/>
      <c r="D3071" s="26"/>
      <c r="E3071" s="26"/>
      <c r="F3071" s="25">
        <f>E3071*D3071</f>
        <v>0</v>
      </c>
    </row>
    <row r="3072" spans="2:6" ht="16">
      <c r="B3072" s="30"/>
      <c r="C3072" s="26"/>
      <c r="D3072" s="26"/>
      <c r="E3072" s="26"/>
      <c r="F3072" s="25">
        <f>E3072*D3072</f>
        <v>0</v>
      </c>
    </row>
    <row r="3073" spans="2:6" ht="16">
      <c r="B3073" s="8"/>
      <c r="C3073" s="8"/>
      <c r="D3073" s="8"/>
      <c r="E3073" s="8"/>
    </row>
    <row r="3074" spans="2:6" ht="14" thickBot="1">
      <c r="B3074" s="19" t="s">
        <v>33</v>
      </c>
      <c r="C3074" s="19"/>
      <c r="D3074" s="19"/>
      <c r="E3074" s="19"/>
      <c r="F3074" s="23">
        <f>SUM(F3068:F3073)</f>
        <v>124</v>
      </c>
    </row>
    <row r="3075" spans="2:6" ht="16">
      <c r="B3075" s="8"/>
      <c r="C3075" s="8"/>
      <c r="D3075" s="8"/>
      <c r="E3075" s="8"/>
    </row>
    <row r="3076" spans="2:6" ht="17" thickBot="1">
      <c r="B3076" s="8"/>
      <c r="C3076" s="8"/>
      <c r="D3076" s="8"/>
      <c r="E3076" s="8"/>
    </row>
    <row r="3077" spans="2:6" ht="17" thickBot="1">
      <c r="B3077" s="31" t="s">
        <v>34</v>
      </c>
      <c r="C3077" s="13"/>
      <c r="D3077" s="13"/>
      <c r="E3077" s="13"/>
      <c r="F3077" s="32">
        <f>F3054+F3064+F3074</f>
        <v>7863</v>
      </c>
    </row>
    <row r="3078" spans="2:6" ht="17" thickBot="1">
      <c r="B3078" s="31" t="s">
        <v>35</v>
      </c>
      <c r="C3078" s="13"/>
      <c r="D3078" s="13"/>
      <c r="E3078" s="33">
        <v>0.1</v>
      </c>
      <c r="F3078" s="32">
        <f>F3077*E3078</f>
        <v>786.30000000000007</v>
      </c>
    </row>
    <row r="3079" spans="2:6" ht="17" thickBot="1">
      <c r="B3079" s="31" t="s">
        <v>36</v>
      </c>
      <c r="C3079" s="13"/>
      <c r="D3079" s="13"/>
      <c r="E3079" s="33">
        <v>0.1</v>
      </c>
      <c r="F3079" s="32">
        <f>F3077*E3079</f>
        <v>786.30000000000007</v>
      </c>
    </row>
    <row r="3080" spans="2:6" ht="17" thickBot="1">
      <c r="B3080" s="34" t="s">
        <v>37</v>
      </c>
      <c r="C3080" s="35"/>
      <c r="D3080" s="35"/>
      <c r="E3080" s="35"/>
      <c r="F3080" s="32">
        <f>SUM(F3077:F3079)</f>
        <v>9435.5999999999985</v>
      </c>
    </row>
    <row r="3081" spans="2:6" ht="17" thickBot="1">
      <c r="B3081" s="36"/>
      <c r="C3081" s="8"/>
      <c r="D3081" s="8"/>
      <c r="E3081" s="8"/>
    </row>
    <row r="3082" spans="2:6" ht="18" thickTop="1" thickBot="1">
      <c r="B3082" s="37" t="s">
        <v>38</v>
      </c>
      <c r="C3082" s="8"/>
      <c r="D3082" s="8"/>
      <c r="E3082" s="8"/>
    </row>
    <row r="3083" spans="2:6" ht="18" thickTop="1" thickBot="1">
      <c r="B3083" s="8"/>
      <c r="C3083" s="8"/>
      <c r="D3083" s="8"/>
      <c r="E3083" s="8"/>
    </row>
    <row r="3084" spans="2:6" ht="17" thickTop="1">
      <c r="B3084" s="38"/>
      <c r="C3084" s="13"/>
      <c r="D3084" s="13"/>
      <c r="E3084" s="39"/>
      <c r="F3084" s="40"/>
    </row>
    <row r="3085" spans="2:6" ht="16">
      <c r="B3085" s="38"/>
      <c r="C3085" s="13"/>
      <c r="D3085" s="13"/>
      <c r="E3085" s="41"/>
      <c r="F3085" s="42"/>
    </row>
    <row r="3086" spans="2:6" ht="16">
      <c r="B3086" s="38"/>
      <c r="C3086" s="13"/>
      <c r="D3086" s="13"/>
      <c r="E3086" s="41"/>
      <c r="F3086" s="42"/>
    </row>
    <row r="3087" spans="2:6" ht="17" thickBot="1">
      <c r="B3087" s="54"/>
      <c r="C3087" s="35"/>
      <c r="D3087" s="35"/>
      <c r="E3087" s="44"/>
      <c r="F3087" s="45"/>
    </row>
    <row r="3088" spans="2:6" ht="17" thickTop="1">
      <c r="B3088" s="46"/>
      <c r="C3088" s="46"/>
      <c r="D3088" s="46"/>
      <c r="E3088" s="47"/>
      <c r="F3088" s="47"/>
    </row>
    <row r="3089" spans="2:6" ht="14" thickBot="1">
      <c r="B3089" s="1" t="s">
        <v>0</v>
      </c>
      <c r="C3089" s="1"/>
    </row>
    <row r="3090" spans="2:6" ht="17" thickBot="1">
      <c r="B3090" s="1" t="s">
        <v>1</v>
      </c>
      <c r="C3090" s="1"/>
      <c r="E3090" s="4" t="s">
        <v>2</v>
      </c>
      <c r="F3090" s="5"/>
    </row>
    <row r="3091" spans="2:6">
      <c r="B3091" s="6"/>
    </row>
    <row r="3092" spans="2:6" ht="16">
      <c r="B3092" s="7" t="s">
        <v>3</v>
      </c>
      <c r="C3092" s="7"/>
      <c r="D3092" s="7"/>
      <c r="E3092" s="7"/>
      <c r="F3092" s="7"/>
    </row>
    <row r="3093" spans="2:6" ht="16">
      <c r="B3093" s="8"/>
      <c r="C3093" s="8"/>
      <c r="D3093" s="8"/>
      <c r="E3093" s="8"/>
    </row>
    <row r="3094" spans="2:6" ht="16">
      <c r="B3094" s="9" t="s">
        <v>4</v>
      </c>
      <c r="C3094" s="13" t="str">
        <f>C3037</f>
        <v>MEJORAMIENTO ESPACIO PUBLICO JJVV LUCILA GODOY ALCAYAGA</v>
      </c>
      <c r="D3094" s="13"/>
      <c r="E3094" s="13"/>
      <c r="F3094" s="14"/>
    </row>
    <row r="3095" spans="2:6" ht="16">
      <c r="B3095" s="12"/>
      <c r="C3095" s="8"/>
      <c r="D3095" s="8"/>
      <c r="E3095" s="8"/>
    </row>
    <row r="3096" spans="2:6" ht="16">
      <c r="B3096" s="9" t="s">
        <v>5</v>
      </c>
      <c r="C3096" s="13" t="s">
        <v>6</v>
      </c>
      <c r="D3096" s="13"/>
      <c r="E3096" s="13"/>
      <c r="F3096" s="14"/>
    </row>
    <row r="3097" spans="2:6" ht="16">
      <c r="B3097" s="9"/>
      <c r="C3097" s="13"/>
      <c r="D3097" s="13"/>
      <c r="E3097" s="13"/>
      <c r="F3097" s="14"/>
    </row>
    <row r="3098" spans="2:6" ht="16">
      <c r="B3098" s="9" t="s">
        <v>7</v>
      </c>
      <c r="C3098" s="13" t="str">
        <f>[1]LGA!A77</f>
        <v>4.1</v>
      </c>
      <c r="D3098" s="13"/>
      <c r="E3098" s="13"/>
      <c r="F3098" s="14"/>
    </row>
    <row r="3099" spans="2:6" ht="16">
      <c r="B3099" s="9" t="s">
        <v>8</v>
      </c>
      <c r="C3099" s="13" t="s">
        <v>214</v>
      </c>
      <c r="D3099" s="13"/>
      <c r="E3099" s="13"/>
      <c r="F3099" s="14"/>
    </row>
    <row r="3100" spans="2:6" ht="16">
      <c r="B3100" s="9" t="s">
        <v>10</v>
      </c>
      <c r="C3100" s="13" t="s">
        <v>95</v>
      </c>
      <c r="D3100" s="13"/>
      <c r="E3100" s="13"/>
      <c r="F3100" s="14"/>
    </row>
    <row r="3101" spans="2:6" ht="16">
      <c r="B3101" s="9" t="s">
        <v>12</v>
      </c>
      <c r="C3101" s="15">
        <f>C3044</f>
        <v>46024</v>
      </c>
      <c r="D3101" s="13"/>
      <c r="E3101" s="13"/>
      <c r="F3101" s="14"/>
    </row>
    <row r="3102" spans="2:6" ht="17" thickBot="1">
      <c r="B3102" s="8"/>
      <c r="C3102" s="8"/>
      <c r="D3102" s="8"/>
      <c r="E3102" s="8"/>
    </row>
    <row r="3103" spans="2:6" ht="15" thickTop="1" thickBot="1">
      <c r="B3103" s="16" t="s">
        <v>13</v>
      </c>
      <c r="C3103" s="17" t="s">
        <v>14</v>
      </c>
      <c r="D3103" s="17" t="s">
        <v>15</v>
      </c>
      <c r="E3103" s="17" t="s">
        <v>16</v>
      </c>
      <c r="F3103" s="18" t="s">
        <v>17</v>
      </c>
    </row>
    <row r="3104" spans="2:6" ht="14" thickTop="1">
      <c r="B3104" s="19"/>
      <c r="C3104" s="19"/>
      <c r="D3104" s="19"/>
      <c r="E3104" s="19"/>
      <c r="F3104" s="19"/>
    </row>
    <row r="3105" spans="2:6">
      <c r="B3105" s="20" t="s">
        <v>215</v>
      </c>
      <c r="C3105" s="21" t="s">
        <v>56</v>
      </c>
      <c r="D3105" s="21">
        <v>0.02</v>
      </c>
      <c r="E3105" s="22">
        <v>160000</v>
      </c>
      <c r="F3105" s="22">
        <f t="shared" ref="F3105:F3110" si="51">E3105*D3105</f>
        <v>3200</v>
      </c>
    </row>
    <row r="3106" spans="2:6">
      <c r="B3106" s="20"/>
      <c r="C3106" s="21"/>
      <c r="D3106" s="21"/>
      <c r="E3106" s="22"/>
      <c r="F3106" s="22">
        <f t="shared" si="51"/>
        <v>0</v>
      </c>
    </row>
    <row r="3107" spans="2:6">
      <c r="B3107" s="20"/>
      <c r="C3107" s="21"/>
      <c r="D3107" s="21"/>
      <c r="E3107" s="22"/>
      <c r="F3107" s="22">
        <f t="shared" si="51"/>
        <v>0</v>
      </c>
    </row>
    <row r="3108" spans="2:6">
      <c r="B3108" s="20"/>
      <c r="C3108" s="21"/>
      <c r="D3108" s="21"/>
      <c r="E3108" s="22"/>
      <c r="F3108" s="22">
        <f t="shared" si="51"/>
        <v>0</v>
      </c>
    </row>
    <row r="3109" spans="2:6">
      <c r="B3109" s="20"/>
      <c r="C3109" s="21"/>
      <c r="D3109" s="21"/>
      <c r="E3109" s="22"/>
      <c r="F3109" s="22">
        <f t="shared" si="51"/>
        <v>0</v>
      </c>
    </row>
    <row r="3110" spans="2:6">
      <c r="B3110" s="20"/>
      <c r="C3110" s="21"/>
      <c r="D3110" s="21"/>
      <c r="E3110" s="22"/>
      <c r="F3110" s="22">
        <f t="shared" si="51"/>
        <v>0</v>
      </c>
    </row>
    <row r="3111" spans="2:6" ht="17" thickBot="1">
      <c r="B3111" s="6" t="s">
        <v>19</v>
      </c>
      <c r="C3111" s="8"/>
      <c r="D3111" s="8"/>
      <c r="E3111" s="8"/>
      <c r="F3111" s="23">
        <f>SUM(F3105:F3110)</f>
        <v>3200</v>
      </c>
    </row>
    <row r="3112" spans="2:6" ht="17" thickBot="1">
      <c r="B3112" s="8"/>
      <c r="C3112" s="8"/>
      <c r="D3112" s="8"/>
      <c r="E3112" s="8"/>
    </row>
    <row r="3113" spans="2:6" ht="15" thickTop="1" thickBot="1">
      <c r="B3113" s="16" t="s">
        <v>20</v>
      </c>
      <c r="C3113" s="17" t="s">
        <v>14</v>
      </c>
      <c r="D3113" s="17" t="s">
        <v>15</v>
      </c>
      <c r="E3113" s="17" t="s">
        <v>16</v>
      </c>
      <c r="F3113" s="18" t="s">
        <v>17</v>
      </c>
    </row>
    <row r="3114" spans="2:6" ht="17" thickTop="1">
      <c r="B3114" s="8"/>
      <c r="C3114" s="8"/>
      <c r="D3114" s="8"/>
      <c r="E3114" s="8"/>
    </row>
    <row r="3115" spans="2:6">
      <c r="B3115" s="24" t="s">
        <v>211</v>
      </c>
      <c r="C3115" s="20" t="s">
        <v>22</v>
      </c>
      <c r="D3115" s="20">
        <v>4.4000000000000003E-3</v>
      </c>
      <c r="E3115" s="22">
        <v>27500</v>
      </c>
      <c r="F3115" s="25">
        <f>E3115*D3115</f>
        <v>121.00000000000001</v>
      </c>
    </row>
    <row r="3116" spans="2:6">
      <c r="B3116" s="20" t="s">
        <v>23</v>
      </c>
      <c r="C3116" s="20" t="s">
        <v>22</v>
      </c>
      <c r="D3116" s="20">
        <v>4.4000000000000003E-3</v>
      </c>
      <c r="E3116" s="22">
        <v>15000</v>
      </c>
      <c r="F3116" s="25">
        <f>E3116*D3116</f>
        <v>66</v>
      </c>
    </row>
    <row r="3117" spans="2:6" ht="16">
      <c r="B3117" s="26"/>
      <c r="C3117" s="26"/>
      <c r="D3117" s="26"/>
      <c r="E3117" s="26"/>
      <c r="F3117" s="25">
        <f>E3117*D3117</f>
        <v>0</v>
      </c>
    </row>
    <row r="3118" spans="2:6" ht="16">
      <c r="B3118" s="26"/>
      <c r="C3118" s="26"/>
      <c r="D3118" s="26"/>
      <c r="E3118" s="26"/>
      <c r="F3118" s="25">
        <f>E3118*D3118</f>
        <v>0</v>
      </c>
    </row>
    <row r="3119" spans="2:6" ht="16">
      <c r="B3119" s="27" t="s">
        <v>25</v>
      </c>
      <c r="C3119" s="27" t="s">
        <v>26</v>
      </c>
      <c r="D3119" s="28">
        <v>0.32</v>
      </c>
      <c r="E3119" s="29">
        <f>SUM(E3115:E3118)*D3119</f>
        <v>13600</v>
      </c>
      <c r="F3119" s="25">
        <f>E3119*D3119</f>
        <v>4352</v>
      </c>
    </row>
    <row r="3120" spans="2:6" ht="16">
      <c r="B3120" s="8"/>
      <c r="C3120" s="8"/>
      <c r="D3120" s="8"/>
      <c r="E3120" s="8"/>
    </row>
    <row r="3121" spans="2:6" ht="17" thickBot="1">
      <c r="B3121" s="6" t="s">
        <v>27</v>
      </c>
      <c r="C3121" s="8"/>
      <c r="D3121" s="8"/>
      <c r="E3121" s="8"/>
      <c r="F3121" s="23">
        <f>SUM(F3115:F3120)</f>
        <v>4539</v>
      </c>
    </row>
    <row r="3122" spans="2:6" ht="17" thickBot="1">
      <c r="B3122" s="8"/>
      <c r="C3122" s="8"/>
      <c r="D3122" s="8"/>
      <c r="E3122" s="8"/>
    </row>
    <row r="3123" spans="2:6" ht="15" thickTop="1" thickBot="1">
      <c r="B3123" s="16" t="s">
        <v>28</v>
      </c>
      <c r="C3123" s="17" t="s">
        <v>14</v>
      </c>
      <c r="D3123" s="17" t="s">
        <v>15</v>
      </c>
      <c r="E3123" s="17" t="s">
        <v>16</v>
      </c>
      <c r="F3123" s="18" t="s">
        <v>17</v>
      </c>
    </row>
    <row r="3124" spans="2:6" ht="17" thickTop="1">
      <c r="B3124" s="8"/>
      <c r="C3124" s="8"/>
      <c r="D3124" s="8"/>
      <c r="E3124" s="8"/>
    </row>
    <row r="3125" spans="2:6">
      <c r="B3125" s="20" t="s">
        <v>212</v>
      </c>
      <c r="C3125" s="20" t="s">
        <v>32</v>
      </c>
      <c r="D3125" s="71">
        <v>2E-3</v>
      </c>
      <c r="E3125" s="22">
        <v>35000</v>
      </c>
      <c r="F3125" s="25">
        <f>E3125*D3125</f>
        <v>70</v>
      </c>
    </row>
    <row r="3126" spans="2:6">
      <c r="B3126" s="20" t="s">
        <v>213</v>
      </c>
      <c r="C3126" s="20" t="s">
        <v>30</v>
      </c>
      <c r="D3126" s="71">
        <v>1E-3</v>
      </c>
      <c r="E3126" s="22">
        <v>54000</v>
      </c>
      <c r="F3126" s="25">
        <f>E3126*D3126</f>
        <v>54</v>
      </c>
    </row>
    <row r="3127" spans="2:6" ht="16">
      <c r="B3127" s="26"/>
      <c r="C3127" s="26"/>
      <c r="D3127" s="26"/>
      <c r="E3127" s="26"/>
      <c r="F3127" s="25">
        <f>E3127*D3127</f>
        <v>0</v>
      </c>
    </row>
    <row r="3128" spans="2:6" ht="16">
      <c r="B3128" s="26"/>
      <c r="C3128" s="26"/>
      <c r="D3128" s="26"/>
      <c r="E3128" s="26"/>
      <c r="F3128" s="25">
        <f>E3128*D3128</f>
        <v>0</v>
      </c>
    </row>
    <row r="3129" spans="2:6" ht="16">
      <c r="B3129" s="30"/>
      <c r="C3129" s="26"/>
      <c r="D3129" s="26"/>
      <c r="E3129" s="26"/>
      <c r="F3129" s="25">
        <f>E3129*D3129</f>
        <v>0</v>
      </c>
    </row>
    <row r="3130" spans="2:6" ht="16">
      <c r="B3130" s="8"/>
      <c r="C3130" s="8"/>
      <c r="D3130" s="8"/>
      <c r="E3130" s="8"/>
    </row>
    <row r="3131" spans="2:6" ht="14" thickBot="1">
      <c r="B3131" s="19" t="s">
        <v>33</v>
      </c>
      <c r="C3131" s="19"/>
      <c r="D3131" s="19"/>
      <c r="E3131" s="19"/>
      <c r="F3131" s="23">
        <f>SUM(F3125:F3130)</f>
        <v>124</v>
      </c>
    </row>
    <row r="3132" spans="2:6" ht="16">
      <c r="B3132" s="8"/>
      <c r="C3132" s="8"/>
      <c r="D3132" s="8"/>
      <c r="E3132" s="8"/>
    </row>
    <row r="3133" spans="2:6" ht="17" thickBot="1">
      <c r="B3133" s="8"/>
      <c r="C3133" s="8"/>
      <c r="D3133" s="8"/>
      <c r="E3133" s="8"/>
    </row>
    <row r="3134" spans="2:6" ht="17" thickBot="1">
      <c r="B3134" s="31" t="s">
        <v>34</v>
      </c>
      <c r="C3134" s="13"/>
      <c r="D3134" s="13"/>
      <c r="E3134" s="13"/>
      <c r="F3134" s="32">
        <f>F3111+F3121+F3131</f>
        <v>7863</v>
      </c>
    </row>
    <row r="3135" spans="2:6" ht="17" thickBot="1">
      <c r="B3135" s="31" t="s">
        <v>35</v>
      </c>
      <c r="C3135" s="13"/>
      <c r="D3135" s="13"/>
      <c r="E3135" s="33">
        <v>0.1</v>
      </c>
      <c r="F3135" s="32">
        <f>F3134*E3135</f>
        <v>786.30000000000007</v>
      </c>
    </row>
    <row r="3136" spans="2:6" ht="17" thickBot="1">
      <c r="B3136" s="31" t="s">
        <v>36</v>
      </c>
      <c r="C3136" s="13"/>
      <c r="D3136" s="13"/>
      <c r="E3136" s="33">
        <v>0.1</v>
      </c>
      <c r="F3136" s="32">
        <f>F3134*E3136</f>
        <v>786.30000000000007</v>
      </c>
    </row>
    <row r="3137" spans="2:6" ht="17" thickBot="1">
      <c r="B3137" s="34" t="s">
        <v>37</v>
      </c>
      <c r="C3137" s="35"/>
      <c r="D3137" s="35"/>
      <c r="E3137" s="35"/>
      <c r="F3137" s="32">
        <f>SUM(F3134:F3136)</f>
        <v>9435.5999999999985</v>
      </c>
    </row>
    <row r="3138" spans="2:6" ht="17" thickBot="1">
      <c r="B3138" s="36"/>
      <c r="C3138" s="8"/>
      <c r="D3138" s="8"/>
      <c r="E3138" s="8"/>
    </row>
    <row r="3139" spans="2:6" ht="18" thickTop="1" thickBot="1">
      <c r="B3139" s="37" t="s">
        <v>38</v>
      </c>
      <c r="C3139" s="8"/>
      <c r="D3139" s="8"/>
      <c r="E3139" s="8"/>
    </row>
    <row r="3140" spans="2:6" ht="18" thickTop="1" thickBot="1">
      <c r="B3140" s="8"/>
      <c r="C3140" s="8"/>
      <c r="D3140" s="8"/>
      <c r="E3140" s="8"/>
    </row>
    <row r="3141" spans="2:6" ht="17" thickTop="1">
      <c r="B3141" s="38"/>
      <c r="C3141" s="13"/>
      <c r="D3141" s="13"/>
      <c r="E3141" s="39"/>
      <c r="F3141" s="40"/>
    </row>
    <row r="3142" spans="2:6" ht="16">
      <c r="B3142" s="38"/>
      <c r="C3142" s="13"/>
      <c r="D3142" s="13"/>
      <c r="E3142" s="41"/>
      <c r="F3142" s="42"/>
    </row>
    <row r="3143" spans="2:6" ht="16">
      <c r="B3143" s="38"/>
      <c r="C3143" s="13"/>
      <c r="D3143" s="13"/>
      <c r="E3143" s="41"/>
      <c r="F3143" s="42"/>
    </row>
    <row r="3144" spans="2:6" ht="17" thickBot="1">
      <c r="B3144" s="54"/>
      <c r="C3144" s="35"/>
      <c r="D3144" s="35"/>
      <c r="E3144" s="44"/>
      <c r="F3144" s="45"/>
    </row>
    <row r="3145" spans="2:6" ht="17" thickTop="1">
      <c r="B3145" s="46"/>
      <c r="C3145" s="46"/>
      <c r="D3145" s="46"/>
      <c r="E3145" s="47"/>
      <c r="F3145" s="47"/>
    </row>
    <row r="3146" spans="2:6" ht="14" thickBot="1">
      <c r="B3146" s="1" t="s">
        <v>0</v>
      </c>
      <c r="C3146" s="1"/>
    </row>
    <row r="3147" spans="2:6" ht="17" thickBot="1">
      <c r="B3147" s="1" t="s">
        <v>1</v>
      </c>
      <c r="C3147" s="1"/>
      <c r="E3147" s="4" t="s">
        <v>2</v>
      </c>
      <c r="F3147" s="5"/>
    </row>
    <row r="3148" spans="2:6">
      <c r="B3148" s="6"/>
    </row>
    <row r="3149" spans="2:6" ht="16">
      <c r="B3149" s="7" t="s">
        <v>3</v>
      </c>
      <c r="C3149" s="7"/>
      <c r="D3149" s="7"/>
      <c r="E3149" s="7"/>
      <c r="F3149" s="7"/>
    </row>
    <row r="3150" spans="2:6" ht="16">
      <c r="B3150" s="8"/>
      <c r="C3150" s="8"/>
      <c r="D3150" s="8"/>
      <c r="E3150" s="8"/>
    </row>
    <row r="3151" spans="2:6" ht="16">
      <c r="B3151" s="9" t="s">
        <v>4</v>
      </c>
      <c r="C3151" s="13" t="str">
        <f>C3094</f>
        <v>MEJORAMIENTO ESPACIO PUBLICO JJVV LUCILA GODOY ALCAYAGA</v>
      </c>
      <c r="D3151" s="13"/>
      <c r="E3151" s="13"/>
      <c r="F3151" s="14"/>
    </row>
    <row r="3152" spans="2:6" ht="16">
      <c r="B3152" s="12"/>
      <c r="C3152" s="8"/>
      <c r="D3152" s="8"/>
      <c r="E3152" s="8"/>
    </row>
    <row r="3153" spans="2:6" ht="16">
      <c r="B3153" s="9" t="s">
        <v>5</v>
      </c>
      <c r="C3153" s="13" t="s">
        <v>6</v>
      </c>
      <c r="D3153" s="13"/>
      <c r="E3153" s="13"/>
      <c r="F3153" s="14"/>
    </row>
    <row r="3154" spans="2:6" ht="16">
      <c r="B3154" s="9"/>
      <c r="C3154" s="13"/>
      <c r="D3154" s="13"/>
      <c r="E3154" s="13"/>
      <c r="F3154" s="14"/>
    </row>
    <row r="3155" spans="2:6" ht="16">
      <c r="B3155" s="9" t="s">
        <v>7</v>
      </c>
      <c r="C3155" s="13" t="str">
        <f>[1]LGA!A77</f>
        <v>4.1</v>
      </c>
      <c r="D3155" s="13"/>
      <c r="E3155" s="13"/>
      <c r="F3155" s="14"/>
    </row>
    <row r="3156" spans="2:6" ht="16">
      <c r="B3156" s="9" t="s">
        <v>8</v>
      </c>
      <c r="C3156" s="13" t="s">
        <v>216</v>
      </c>
      <c r="D3156" s="13"/>
      <c r="E3156" s="13"/>
      <c r="F3156" s="14"/>
    </row>
    <row r="3157" spans="2:6" ht="16">
      <c r="B3157" s="9" t="s">
        <v>10</v>
      </c>
      <c r="C3157" s="13" t="s">
        <v>95</v>
      </c>
      <c r="D3157" s="13"/>
      <c r="E3157" s="13"/>
      <c r="F3157" s="14"/>
    </row>
    <row r="3158" spans="2:6" ht="16">
      <c r="B3158" s="9" t="s">
        <v>12</v>
      </c>
      <c r="C3158" s="15">
        <f>C3101</f>
        <v>46024</v>
      </c>
      <c r="D3158" s="13"/>
      <c r="E3158" s="13"/>
      <c r="F3158" s="14"/>
    </row>
    <row r="3159" spans="2:6" ht="17" thickBot="1">
      <c r="B3159" s="8"/>
      <c r="C3159" s="8"/>
      <c r="D3159" s="8"/>
      <c r="E3159" s="8"/>
    </row>
    <row r="3160" spans="2:6" ht="15" thickTop="1" thickBot="1">
      <c r="B3160" s="16" t="s">
        <v>13</v>
      </c>
      <c r="C3160" s="17" t="s">
        <v>14</v>
      </c>
      <c r="D3160" s="17" t="s">
        <v>15</v>
      </c>
      <c r="E3160" s="17" t="s">
        <v>16</v>
      </c>
      <c r="F3160" s="18" t="s">
        <v>17</v>
      </c>
    </row>
    <row r="3161" spans="2:6" ht="14" thickTop="1">
      <c r="B3161" s="19"/>
      <c r="C3161" s="19"/>
      <c r="D3161" s="19"/>
      <c r="E3161" s="19"/>
      <c r="F3161" s="19"/>
    </row>
    <row r="3162" spans="2:6">
      <c r="B3162" s="20" t="s">
        <v>183</v>
      </c>
      <c r="C3162" s="21" t="s">
        <v>43</v>
      </c>
      <c r="D3162" s="21">
        <v>0.01</v>
      </c>
      <c r="E3162" s="22">
        <v>6500</v>
      </c>
      <c r="F3162" s="22">
        <f t="shared" ref="F3162:F3167" si="52">E3162*D3162</f>
        <v>65</v>
      </c>
    </row>
    <row r="3163" spans="2:6">
      <c r="B3163" s="20" t="s">
        <v>184</v>
      </c>
      <c r="C3163" s="21" t="s">
        <v>43</v>
      </c>
      <c r="D3163" s="21">
        <v>0.05</v>
      </c>
      <c r="E3163" s="22">
        <v>6000</v>
      </c>
      <c r="F3163" s="22">
        <f t="shared" si="52"/>
        <v>300</v>
      </c>
    </row>
    <row r="3164" spans="2:6">
      <c r="B3164" s="20" t="s">
        <v>185</v>
      </c>
      <c r="C3164" s="21" t="s">
        <v>43</v>
      </c>
      <c r="D3164" s="21">
        <v>0.01</v>
      </c>
      <c r="E3164" s="22">
        <v>45000</v>
      </c>
      <c r="F3164" s="22">
        <f t="shared" si="52"/>
        <v>450</v>
      </c>
    </row>
    <row r="3165" spans="2:6">
      <c r="B3165" s="20" t="s">
        <v>217</v>
      </c>
      <c r="C3165" s="21" t="s">
        <v>56</v>
      </c>
      <c r="D3165" s="21">
        <v>0.02</v>
      </c>
      <c r="E3165" s="22">
        <v>45000</v>
      </c>
      <c r="F3165" s="22">
        <f t="shared" si="52"/>
        <v>900</v>
      </c>
    </row>
    <row r="3166" spans="2:6">
      <c r="B3166" s="20"/>
      <c r="C3166" s="21"/>
      <c r="D3166" s="21"/>
      <c r="E3166" s="22"/>
      <c r="F3166" s="22">
        <f t="shared" si="52"/>
        <v>0</v>
      </c>
    </row>
    <row r="3167" spans="2:6">
      <c r="B3167" s="20"/>
      <c r="C3167" s="21"/>
      <c r="D3167" s="21"/>
      <c r="E3167" s="22"/>
      <c r="F3167" s="22">
        <f t="shared" si="52"/>
        <v>0</v>
      </c>
    </row>
    <row r="3168" spans="2:6" ht="17" thickBot="1">
      <c r="B3168" s="6" t="s">
        <v>19</v>
      </c>
      <c r="C3168" s="8"/>
      <c r="D3168" s="8"/>
      <c r="E3168" s="8"/>
      <c r="F3168" s="23">
        <f>SUM(F3162:F3167)</f>
        <v>1715</v>
      </c>
    </row>
    <row r="3169" spans="2:6" ht="17" thickBot="1">
      <c r="B3169" s="8"/>
      <c r="C3169" s="8"/>
      <c r="D3169" s="8"/>
      <c r="E3169" s="8"/>
    </row>
    <row r="3170" spans="2:6" ht="15" thickTop="1" thickBot="1">
      <c r="B3170" s="16" t="s">
        <v>20</v>
      </c>
      <c r="C3170" s="17" t="s">
        <v>14</v>
      </c>
      <c r="D3170" s="17" t="s">
        <v>15</v>
      </c>
      <c r="E3170" s="17" t="s">
        <v>16</v>
      </c>
      <c r="F3170" s="18" t="s">
        <v>17</v>
      </c>
    </row>
    <row r="3171" spans="2:6" ht="17" thickTop="1">
      <c r="B3171" s="8"/>
      <c r="C3171" s="8"/>
      <c r="D3171" s="8"/>
      <c r="E3171" s="8"/>
    </row>
    <row r="3172" spans="2:6">
      <c r="B3172" s="24" t="s">
        <v>194</v>
      </c>
      <c r="C3172" s="20" t="s">
        <v>22</v>
      </c>
      <c r="D3172" s="20">
        <v>4.4999999999999998E-2</v>
      </c>
      <c r="E3172" s="22">
        <v>35000</v>
      </c>
      <c r="F3172" s="25">
        <f>E3172*D3172</f>
        <v>1575</v>
      </c>
    </row>
    <row r="3173" spans="2:6">
      <c r="B3173" s="20" t="s">
        <v>23</v>
      </c>
      <c r="C3173" s="20" t="s">
        <v>22</v>
      </c>
      <c r="D3173" s="20">
        <v>4.4999999999999998E-2</v>
      </c>
      <c r="E3173" s="22">
        <v>15000</v>
      </c>
      <c r="F3173" s="25">
        <f>E3173*D3173</f>
        <v>675</v>
      </c>
    </row>
    <row r="3174" spans="2:6" ht="16">
      <c r="B3174" s="26"/>
      <c r="C3174" s="26"/>
      <c r="D3174" s="26"/>
      <c r="E3174" s="26"/>
      <c r="F3174" s="25">
        <f>E3174*D3174</f>
        <v>0</v>
      </c>
    </row>
    <row r="3175" spans="2:6" ht="16">
      <c r="B3175" s="26"/>
      <c r="C3175" s="26"/>
      <c r="D3175" s="26"/>
      <c r="E3175" s="26"/>
      <c r="F3175" s="25">
        <f>E3175*D3175</f>
        <v>0</v>
      </c>
    </row>
    <row r="3176" spans="2:6" ht="16">
      <c r="B3176" s="27" t="s">
        <v>25</v>
      </c>
      <c r="C3176" s="27" t="s">
        <v>26</v>
      </c>
      <c r="D3176" s="28">
        <v>0.32</v>
      </c>
      <c r="E3176" s="29">
        <f>SUM(E3172:E3175)*D3176</f>
        <v>16000</v>
      </c>
      <c r="F3176" s="25">
        <f>E3176*0.032</f>
        <v>512</v>
      </c>
    </row>
    <row r="3177" spans="2:6" ht="16">
      <c r="B3177" s="8"/>
      <c r="C3177" s="8"/>
      <c r="D3177" s="8"/>
      <c r="E3177" s="8"/>
    </row>
    <row r="3178" spans="2:6" ht="17" thickBot="1">
      <c r="B3178" s="6" t="s">
        <v>27</v>
      </c>
      <c r="C3178" s="8"/>
      <c r="D3178" s="8"/>
      <c r="E3178" s="8"/>
      <c r="F3178" s="23">
        <f>SUM(F3172:F3177)</f>
        <v>2762</v>
      </c>
    </row>
    <row r="3179" spans="2:6" ht="17" thickBot="1">
      <c r="B3179" s="8"/>
      <c r="C3179" s="8"/>
      <c r="D3179" s="8"/>
      <c r="E3179" s="8"/>
    </row>
    <row r="3180" spans="2:6" ht="15" thickTop="1" thickBot="1">
      <c r="B3180" s="16" t="s">
        <v>28</v>
      </c>
      <c r="C3180" s="17" t="s">
        <v>14</v>
      </c>
      <c r="D3180" s="17" t="s">
        <v>15</v>
      </c>
      <c r="E3180" s="17" t="s">
        <v>16</v>
      </c>
      <c r="F3180" s="18" t="s">
        <v>17</v>
      </c>
    </row>
    <row r="3181" spans="2:6" ht="17" thickTop="1">
      <c r="B3181" s="8"/>
      <c r="C3181" s="8"/>
      <c r="D3181" s="8"/>
      <c r="E3181" s="8"/>
    </row>
    <row r="3182" spans="2:6">
      <c r="B3182" s="20" t="s">
        <v>195</v>
      </c>
      <c r="C3182" s="20" t="s">
        <v>30</v>
      </c>
      <c r="D3182" s="71">
        <v>0.02</v>
      </c>
      <c r="E3182" s="22">
        <v>35000</v>
      </c>
      <c r="F3182" s="25">
        <f>E3182*D3182</f>
        <v>700</v>
      </c>
    </row>
    <row r="3183" spans="2:6">
      <c r="B3183" s="20" t="s">
        <v>196</v>
      </c>
      <c r="C3183" s="20" t="s">
        <v>30</v>
      </c>
      <c r="D3183" s="71">
        <v>0.01</v>
      </c>
      <c r="E3183" s="22">
        <v>65000</v>
      </c>
      <c r="F3183" s="25">
        <f>E3183*D3183</f>
        <v>650</v>
      </c>
    </row>
    <row r="3184" spans="2:6">
      <c r="B3184" s="20" t="s">
        <v>218</v>
      </c>
      <c r="C3184" s="20" t="s">
        <v>30</v>
      </c>
      <c r="D3184" s="71">
        <v>0.01</v>
      </c>
      <c r="E3184" s="22">
        <v>45000</v>
      </c>
      <c r="F3184" s="25">
        <f>E3184*D3184</f>
        <v>450</v>
      </c>
    </row>
    <row r="3185" spans="2:6" ht="16">
      <c r="B3185" s="26"/>
      <c r="C3185" s="26"/>
      <c r="D3185" s="26"/>
      <c r="E3185" s="26"/>
      <c r="F3185" s="25">
        <f>E3185*D3185</f>
        <v>0</v>
      </c>
    </row>
    <row r="3186" spans="2:6" ht="16">
      <c r="B3186" s="30"/>
      <c r="C3186" s="26"/>
      <c r="D3186" s="26"/>
      <c r="E3186" s="26"/>
      <c r="F3186" s="25">
        <f>E3186*D3186</f>
        <v>0</v>
      </c>
    </row>
    <row r="3187" spans="2:6" ht="16">
      <c r="B3187" s="8"/>
      <c r="C3187" s="8"/>
      <c r="D3187" s="8"/>
      <c r="E3187" s="8"/>
    </row>
    <row r="3188" spans="2:6" ht="14" thickBot="1">
      <c r="B3188" s="19" t="s">
        <v>33</v>
      </c>
      <c r="C3188" s="19"/>
      <c r="D3188" s="19"/>
      <c r="E3188" s="19"/>
      <c r="F3188" s="23">
        <f>SUM(F3182:F3187)</f>
        <v>1800</v>
      </c>
    </row>
    <row r="3189" spans="2:6" ht="16">
      <c r="B3189" s="8"/>
      <c r="C3189" s="8"/>
      <c r="D3189" s="8"/>
      <c r="E3189" s="8"/>
    </row>
    <row r="3190" spans="2:6" ht="17" thickBot="1">
      <c r="B3190" s="8"/>
      <c r="C3190" s="8"/>
      <c r="D3190" s="8"/>
      <c r="E3190" s="8"/>
    </row>
    <row r="3191" spans="2:6" ht="17" thickBot="1">
      <c r="B3191" s="31" t="s">
        <v>34</v>
      </c>
      <c r="C3191" s="13"/>
      <c r="D3191" s="13"/>
      <c r="E3191" s="13"/>
      <c r="F3191" s="32">
        <f>F3168+F3178+F3188</f>
        <v>6277</v>
      </c>
    </row>
    <row r="3192" spans="2:6" ht="17" thickBot="1">
      <c r="B3192" s="31" t="s">
        <v>35</v>
      </c>
      <c r="C3192" s="13"/>
      <c r="D3192" s="13"/>
      <c r="E3192" s="33">
        <v>0.1</v>
      </c>
      <c r="F3192" s="32">
        <f>F3191*E3192</f>
        <v>627.70000000000005</v>
      </c>
    </row>
    <row r="3193" spans="2:6" ht="17" thickBot="1">
      <c r="B3193" s="31" t="s">
        <v>36</v>
      </c>
      <c r="C3193" s="13"/>
      <c r="D3193" s="13"/>
      <c r="E3193" s="33">
        <v>0.1</v>
      </c>
      <c r="F3193" s="32">
        <f>F3191*E3193</f>
        <v>627.70000000000005</v>
      </c>
    </row>
    <row r="3194" spans="2:6" ht="17" thickBot="1">
      <c r="B3194" s="34" t="s">
        <v>37</v>
      </c>
      <c r="C3194" s="35"/>
      <c r="D3194" s="35"/>
      <c r="E3194" s="35"/>
      <c r="F3194" s="32">
        <f>SUM(F3191:F3193)</f>
        <v>7532.4</v>
      </c>
    </row>
    <row r="3195" spans="2:6" ht="17" thickBot="1">
      <c r="B3195" s="36"/>
      <c r="C3195" s="8"/>
      <c r="D3195" s="8"/>
      <c r="E3195" s="8"/>
    </row>
    <row r="3196" spans="2:6" ht="18" thickTop="1" thickBot="1">
      <c r="B3196" s="37" t="s">
        <v>38</v>
      </c>
      <c r="C3196" s="8"/>
      <c r="D3196" s="8"/>
      <c r="E3196" s="8"/>
    </row>
    <row r="3197" spans="2:6" ht="18" thickTop="1" thickBot="1">
      <c r="B3197" s="8"/>
      <c r="C3197" s="8"/>
      <c r="D3197" s="8"/>
      <c r="E3197" s="8"/>
    </row>
    <row r="3198" spans="2:6" ht="17" thickTop="1">
      <c r="B3198" s="38"/>
      <c r="C3198" s="13"/>
      <c r="D3198" s="13"/>
      <c r="E3198" s="39"/>
      <c r="F3198" s="40"/>
    </row>
    <row r="3199" spans="2:6" ht="16">
      <c r="B3199" s="38"/>
      <c r="C3199" s="13"/>
      <c r="D3199" s="13"/>
      <c r="E3199" s="41"/>
      <c r="F3199" s="42"/>
    </row>
    <row r="3200" spans="2:6" ht="16">
      <c r="B3200" s="38"/>
      <c r="C3200" s="13"/>
      <c r="D3200" s="13"/>
      <c r="E3200" s="41"/>
      <c r="F3200" s="42"/>
    </row>
    <row r="3201" spans="2:6" ht="17" thickBot="1">
      <c r="B3201" s="54"/>
      <c r="C3201" s="35"/>
      <c r="D3201" s="35"/>
      <c r="E3201" s="44"/>
      <c r="F3201" s="45"/>
    </row>
    <row r="3202" spans="2:6" ht="17" thickTop="1">
      <c r="B3202" s="46"/>
      <c r="C3202" s="46"/>
      <c r="D3202" s="46"/>
      <c r="E3202" s="47"/>
      <c r="F3202" s="47"/>
    </row>
    <row r="3203" spans="2:6" ht="14" thickBot="1">
      <c r="B3203" s="1" t="s">
        <v>0</v>
      </c>
      <c r="C3203" s="1"/>
    </row>
    <row r="3204" spans="2:6" ht="17" thickBot="1">
      <c r="B3204" s="1" t="s">
        <v>1</v>
      </c>
      <c r="C3204" s="1"/>
      <c r="E3204" s="4" t="s">
        <v>2</v>
      </c>
      <c r="F3204" s="5"/>
    </row>
    <row r="3206" spans="2:6">
      <c r="B3206" s="6"/>
    </row>
    <row r="3207" spans="2:6" ht="16">
      <c r="B3207" s="7" t="s">
        <v>3</v>
      </c>
      <c r="C3207" s="7"/>
      <c r="D3207" s="7"/>
      <c r="E3207" s="7"/>
      <c r="F3207" s="7"/>
    </row>
    <row r="3208" spans="2:6" ht="16">
      <c r="B3208" s="8"/>
      <c r="C3208" s="8"/>
      <c r="D3208" s="8"/>
      <c r="E3208" s="8"/>
    </row>
    <row r="3209" spans="2:6" ht="16">
      <c r="B3209" s="9" t="s">
        <v>4</v>
      </c>
      <c r="C3209" s="13" t="str">
        <f>C3151</f>
        <v>MEJORAMIENTO ESPACIO PUBLICO JJVV LUCILA GODOY ALCAYAGA</v>
      </c>
      <c r="D3209" s="13"/>
      <c r="E3209" s="13"/>
      <c r="F3209" s="14"/>
    </row>
    <row r="3210" spans="2:6" ht="16">
      <c r="B3210" s="12"/>
      <c r="C3210" s="8"/>
      <c r="D3210" s="8"/>
      <c r="E3210" s="8"/>
    </row>
    <row r="3211" spans="2:6" ht="16">
      <c r="B3211" s="9" t="s">
        <v>5</v>
      </c>
      <c r="C3211" s="13" t="s">
        <v>6</v>
      </c>
      <c r="D3211" s="13"/>
      <c r="E3211" s="13"/>
      <c r="F3211" s="14"/>
    </row>
    <row r="3212" spans="2:6" ht="16">
      <c r="B3212" s="9"/>
      <c r="C3212" s="13"/>
      <c r="D3212" s="13"/>
      <c r="E3212" s="13"/>
      <c r="F3212" s="14"/>
    </row>
    <row r="3213" spans="2:6" ht="16">
      <c r="B3213" s="9" t="s">
        <v>7</v>
      </c>
      <c r="C3213" s="13" t="str">
        <f>[1]LGA!A78</f>
        <v>4.2</v>
      </c>
      <c r="D3213" s="13"/>
      <c r="E3213" s="13"/>
      <c r="F3213" s="14"/>
    </row>
    <row r="3214" spans="2:6" ht="16">
      <c r="B3214" s="9" t="s">
        <v>8</v>
      </c>
      <c r="C3214" s="13" t="s">
        <v>147</v>
      </c>
      <c r="D3214" s="13"/>
      <c r="E3214" s="13"/>
      <c r="F3214" s="14"/>
    </row>
    <row r="3215" spans="2:6" ht="16">
      <c r="B3215" s="9" t="s">
        <v>10</v>
      </c>
      <c r="C3215" s="13" t="s">
        <v>148</v>
      </c>
      <c r="D3215" s="13"/>
      <c r="E3215" s="13"/>
      <c r="F3215" s="14"/>
    </row>
    <row r="3216" spans="2:6" ht="16">
      <c r="B3216" s="9" t="s">
        <v>12</v>
      </c>
      <c r="C3216" s="15">
        <f>C3158</f>
        <v>46024</v>
      </c>
      <c r="D3216" s="13"/>
      <c r="E3216" s="13"/>
      <c r="F3216" s="14"/>
    </row>
    <row r="3217" spans="2:6" ht="17" thickBot="1">
      <c r="B3217" s="8"/>
      <c r="C3217" s="8"/>
      <c r="D3217" s="8"/>
      <c r="E3217" s="8"/>
    </row>
    <row r="3218" spans="2:6" ht="15" thickTop="1" thickBot="1">
      <c r="B3218" s="16" t="s">
        <v>13</v>
      </c>
      <c r="C3218" s="17" t="s">
        <v>14</v>
      </c>
      <c r="D3218" s="17" t="s">
        <v>15</v>
      </c>
      <c r="E3218" s="17" t="s">
        <v>16</v>
      </c>
      <c r="F3218" s="18" t="s">
        <v>17</v>
      </c>
    </row>
    <row r="3219" spans="2:6" ht="14" thickTop="1">
      <c r="B3219" s="19"/>
      <c r="C3219" s="19"/>
      <c r="D3219" s="19"/>
      <c r="E3219" s="19"/>
      <c r="F3219" s="19"/>
    </row>
    <row r="3220" spans="2:6">
      <c r="B3220" s="20" t="s">
        <v>149</v>
      </c>
      <c r="C3220" s="21" t="s">
        <v>43</v>
      </c>
      <c r="D3220" s="21">
        <v>1</v>
      </c>
      <c r="E3220" s="22">
        <v>5200</v>
      </c>
      <c r="F3220" s="22">
        <f t="shared" ref="F3220:F3225" si="53">E3220*D3220</f>
        <v>5200</v>
      </c>
    </row>
    <row r="3221" spans="2:6">
      <c r="B3221" s="20" t="s">
        <v>150</v>
      </c>
      <c r="C3221" s="21" t="s">
        <v>43</v>
      </c>
      <c r="D3221" s="21">
        <v>1</v>
      </c>
      <c r="E3221" s="22">
        <v>4500</v>
      </c>
      <c r="F3221" s="22">
        <f t="shared" si="53"/>
        <v>4500</v>
      </c>
    </row>
    <row r="3222" spans="2:6">
      <c r="B3222" s="20" t="s">
        <v>151</v>
      </c>
      <c r="C3222" s="21" t="s">
        <v>43</v>
      </c>
      <c r="D3222" s="21">
        <v>1</v>
      </c>
      <c r="E3222" s="22">
        <v>15000</v>
      </c>
      <c r="F3222" s="22">
        <f t="shared" si="53"/>
        <v>15000</v>
      </c>
    </row>
    <row r="3223" spans="2:6">
      <c r="B3223" s="20" t="s">
        <v>152</v>
      </c>
      <c r="C3223" s="21" t="s">
        <v>43</v>
      </c>
      <c r="D3223" s="21">
        <v>1</v>
      </c>
      <c r="E3223" s="22">
        <v>3200</v>
      </c>
      <c r="F3223" s="22">
        <f t="shared" si="53"/>
        <v>3200</v>
      </c>
    </row>
    <row r="3224" spans="2:6">
      <c r="B3224" s="20"/>
      <c r="C3224" s="21"/>
      <c r="D3224" s="21"/>
      <c r="E3224" s="22"/>
      <c r="F3224" s="22">
        <f t="shared" si="53"/>
        <v>0</v>
      </c>
    </row>
    <row r="3225" spans="2:6">
      <c r="B3225" s="20"/>
      <c r="C3225" s="21"/>
      <c r="D3225" s="21"/>
      <c r="E3225" s="22"/>
      <c r="F3225" s="22">
        <f t="shared" si="53"/>
        <v>0</v>
      </c>
    </row>
    <row r="3226" spans="2:6" ht="17" thickBot="1">
      <c r="B3226" s="6" t="s">
        <v>19</v>
      </c>
      <c r="C3226" s="8"/>
      <c r="D3226" s="8"/>
      <c r="E3226" s="8"/>
      <c r="F3226" s="23">
        <f>SUM(F3220:F3225)</f>
        <v>27900</v>
      </c>
    </row>
    <row r="3227" spans="2:6" ht="17" thickBot="1">
      <c r="B3227" s="8"/>
      <c r="C3227" s="8"/>
      <c r="D3227" s="8"/>
      <c r="E3227" s="8"/>
    </row>
    <row r="3228" spans="2:6" ht="15" thickTop="1" thickBot="1">
      <c r="B3228" s="16" t="s">
        <v>20</v>
      </c>
      <c r="C3228" s="17" t="s">
        <v>14</v>
      </c>
      <c r="D3228" s="17" t="s">
        <v>15</v>
      </c>
      <c r="E3228" s="17" t="s">
        <v>16</v>
      </c>
      <c r="F3228" s="18" t="s">
        <v>17</v>
      </c>
    </row>
    <row r="3229" spans="2:6" ht="17" thickTop="1">
      <c r="B3229" s="8"/>
      <c r="C3229" s="8"/>
      <c r="D3229" s="8"/>
      <c r="E3229" s="8"/>
    </row>
    <row r="3230" spans="2:6">
      <c r="B3230" s="24" t="s">
        <v>21</v>
      </c>
      <c r="C3230" s="20" t="s">
        <v>22</v>
      </c>
      <c r="D3230" s="20">
        <v>0.1</v>
      </c>
      <c r="E3230" s="22">
        <v>27500</v>
      </c>
      <c r="F3230" s="25">
        <f>E3230*D3230</f>
        <v>2750</v>
      </c>
    </row>
    <row r="3231" spans="2:6">
      <c r="B3231" s="20" t="s">
        <v>23</v>
      </c>
      <c r="C3231" s="20" t="s">
        <v>22</v>
      </c>
      <c r="D3231" s="20">
        <v>0.1</v>
      </c>
      <c r="E3231" s="22">
        <v>15000</v>
      </c>
      <c r="F3231" s="25">
        <f>E3231*D3231</f>
        <v>1500</v>
      </c>
    </row>
    <row r="3232" spans="2:6" ht="16">
      <c r="B3232" s="26"/>
      <c r="C3232" s="26"/>
      <c r="D3232" s="26"/>
      <c r="E3232" s="26"/>
      <c r="F3232" s="25">
        <f>E3232*D3232</f>
        <v>0</v>
      </c>
    </row>
    <row r="3233" spans="2:6" ht="16">
      <c r="B3233" s="26"/>
      <c r="C3233" s="26"/>
      <c r="D3233" s="26"/>
      <c r="E3233" s="26"/>
      <c r="F3233" s="25">
        <f>E3233*D3233</f>
        <v>0</v>
      </c>
    </row>
    <row r="3234" spans="2:6" ht="16">
      <c r="B3234" s="27" t="s">
        <v>25</v>
      </c>
      <c r="C3234" s="27" t="s">
        <v>26</v>
      </c>
      <c r="D3234" s="28">
        <v>0.32</v>
      </c>
      <c r="E3234" s="29">
        <f>SUM(E3230:E3233)*D3234</f>
        <v>13600</v>
      </c>
      <c r="F3234" s="25">
        <f>SUM(F3230:F3232)*D3234</f>
        <v>1360</v>
      </c>
    </row>
    <row r="3235" spans="2:6" ht="16">
      <c r="B3235" s="8"/>
      <c r="C3235" s="8"/>
      <c r="D3235" s="8"/>
      <c r="E3235" s="8"/>
    </row>
    <row r="3236" spans="2:6" ht="17" thickBot="1">
      <c r="B3236" s="6" t="s">
        <v>27</v>
      </c>
      <c r="C3236" s="8"/>
      <c r="D3236" s="8"/>
      <c r="E3236" s="8"/>
      <c r="F3236" s="23">
        <f>SUM(F3230:F3235)</f>
        <v>5610</v>
      </c>
    </row>
    <row r="3237" spans="2:6" ht="17" thickBot="1">
      <c r="B3237" s="8"/>
      <c r="C3237" s="8"/>
      <c r="D3237" s="8"/>
      <c r="E3237" s="8"/>
    </row>
    <row r="3238" spans="2:6" ht="15" thickTop="1" thickBot="1">
      <c r="B3238" s="16" t="s">
        <v>28</v>
      </c>
      <c r="C3238" s="17" t="s">
        <v>14</v>
      </c>
      <c r="D3238" s="17" t="s">
        <v>15</v>
      </c>
      <c r="E3238" s="17" t="s">
        <v>16</v>
      </c>
      <c r="F3238" s="18" t="s">
        <v>17</v>
      </c>
    </row>
    <row r="3239" spans="2:6" ht="17" thickTop="1">
      <c r="B3239" s="8"/>
      <c r="C3239" s="8"/>
      <c r="D3239" s="8"/>
      <c r="E3239" s="8"/>
    </row>
    <row r="3240" spans="2:6">
      <c r="B3240" s="20" t="s">
        <v>105</v>
      </c>
      <c r="C3240" s="20" t="s">
        <v>32</v>
      </c>
      <c r="D3240" s="68">
        <v>1</v>
      </c>
      <c r="E3240" s="22">
        <v>25000</v>
      </c>
      <c r="F3240" s="25">
        <f>E3240*D3240</f>
        <v>25000</v>
      </c>
    </row>
    <row r="3241" spans="2:6">
      <c r="B3241" s="20" t="s">
        <v>31</v>
      </c>
      <c r="C3241" s="20" t="s">
        <v>32</v>
      </c>
      <c r="D3241" s="68">
        <v>0.2596</v>
      </c>
      <c r="E3241" s="22">
        <v>25000</v>
      </c>
      <c r="F3241" s="25">
        <f>E3241*D3241</f>
        <v>6490</v>
      </c>
    </row>
    <row r="3242" spans="2:6" ht="16">
      <c r="B3242" s="26"/>
      <c r="C3242" s="26"/>
      <c r="D3242" s="26"/>
      <c r="E3242" s="26"/>
      <c r="F3242" s="25">
        <f>E3242*D3242</f>
        <v>0</v>
      </c>
    </row>
    <row r="3243" spans="2:6" ht="16">
      <c r="B3243" s="26"/>
      <c r="C3243" s="26"/>
      <c r="D3243" s="26"/>
      <c r="E3243" s="26"/>
      <c r="F3243" s="25">
        <f>E3243*D3243</f>
        <v>0</v>
      </c>
    </row>
    <row r="3244" spans="2:6" ht="16">
      <c r="B3244" s="30"/>
      <c r="C3244" s="26"/>
      <c r="D3244" s="26"/>
      <c r="E3244" s="26"/>
      <c r="F3244" s="25">
        <f>E3244*D3244</f>
        <v>0</v>
      </c>
    </row>
    <row r="3245" spans="2:6" ht="16">
      <c r="B3245" s="8"/>
      <c r="C3245" s="8"/>
      <c r="D3245" s="8"/>
      <c r="E3245" s="8"/>
    </row>
    <row r="3246" spans="2:6" ht="14" thickBot="1">
      <c r="B3246" s="19" t="s">
        <v>33</v>
      </c>
      <c r="C3246" s="19"/>
      <c r="D3246" s="19"/>
      <c r="E3246" s="19"/>
      <c r="F3246" s="23">
        <f>SUM(F3240:F3245)</f>
        <v>31490</v>
      </c>
    </row>
    <row r="3247" spans="2:6" ht="16">
      <c r="B3247" s="8"/>
      <c r="C3247" s="8"/>
      <c r="D3247" s="8"/>
      <c r="E3247" s="8"/>
    </row>
    <row r="3248" spans="2:6" ht="17" thickBot="1">
      <c r="B3248" s="8"/>
      <c r="C3248" s="8"/>
      <c r="D3248" s="8"/>
      <c r="E3248" s="8"/>
    </row>
    <row r="3249" spans="2:6" ht="17" thickBot="1">
      <c r="B3249" s="31" t="s">
        <v>34</v>
      </c>
      <c r="C3249" s="13"/>
      <c r="D3249" s="13"/>
      <c r="E3249" s="13"/>
      <c r="F3249" s="32">
        <f>F3226+F3236+F3246</f>
        <v>65000</v>
      </c>
    </row>
    <row r="3250" spans="2:6" ht="17" thickBot="1">
      <c r="B3250" s="31" t="s">
        <v>35</v>
      </c>
      <c r="C3250" s="13"/>
      <c r="D3250" s="13"/>
      <c r="E3250" s="33">
        <v>0.1</v>
      </c>
      <c r="F3250" s="32">
        <f>F3249*E3250</f>
        <v>6500</v>
      </c>
    </row>
    <row r="3251" spans="2:6" ht="17" thickBot="1">
      <c r="B3251" s="31" t="s">
        <v>36</v>
      </c>
      <c r="C3251" s="13"/>
      <c r="D3251" s="13"/>
      <c r="E3251" s="33">
        <v>0.1</v>
      </c>
      <c r="F3251" s="32">
        <f>F3249*E3251</f>
        <v>6500</v>
      </c>
    </row>
    <row r="3252" spans="2:6" ht="17" thickBot="1">
      <c r="B3252" s="34" t="s">
        <v>37</v>
      </c>
      <c r="C3252" s="35"/>
      <c r="D3252" s="35"/>
      <c r="E3252" s="35"/>
      <c r="F3252" s="32">
        <f>SUM(F3249:F3251)</f>
        <v>78000</v>
      </c>
    </row>
    <row r="3253" spans="2:6" ht="17" thickBot="1">
      <c r="B3253" s="36"/>
      <c r="C3253" s="8"/>
      <c r="D3253" s="8"/>
      <c r="E3253" s="8"/>
    </row>
    <row r="3254" spans="2:6" ht="18" thickTop="1" thickBot="1">
      <c r="B3254" s="37" t="s">
        <v>38</v>
      </c>
      <c r="C3254" s="8"/>
      <c r="D3254" s="8"/>
      <c r="E3254" s="8"/>
    </row>
    <row r="3255" spans="2:6" ht="18" thickTop="1" thickBot="1">
      <c r="B3255" s="8"/>
      <c r="C3255" s="8"/>
      <c r="D3255" s="8"/>
      <c r="E3255" s="8"/>
    </row>
    <row r="3256" spans="2:6" ht="17" thickTop="1">
      <c r="B3256" s="38"/>
      <c r="C3256" s="13"/>
      <c r="D3256" s="13"/>
      <c r="E3256" s="39"/>
      <c r="F3256" s="40"/>
    </row>
    <row r="3257" spans="2:6" ht="16">
      <c r="B3257" s="38"/>
      <c r="C3257" s="13"/>
      <c r="D3257" s="13"/>
      <c r="E3257" s="41"/>
      <c r="F3257" s="42"/>
    </row>
    <row r="3258" spans="2:6" ht="16">
      <c r="B3258" s="38"/>
      <c r="C3258" s="13"/>
      <c r="D3258" s="13"/>
      <c r="E3258" s="41"/>
      <c r="F3258" s="42"/>
    </row>
    <row r="3259" spans="2:6" ht="17" thickBot="1">
      <c r="B3259" s="54"/>
      <c r="C3259" s="35"/>
      <c r="D3259" s="35"/>
      <c r="E3259" s="44"/>
      <c r="F3259" s="45"/>
    </row>
    <row r="3260" spans="2:6" ht="17" thickTop="1">
      <c r="B3260" s="46"/>
      <c r="C3260" s="46"/>
      <c r="D3260" s="46"/>
      <c r="E3260" s="47"/>
      <c r="F3260" s="47"/>
    </row>
    <row r="3261" spans="2:6" ht="14" thickBot="1">
      <c r="B3261" s="1" t="s">
        <v>0</v>
      </c>
      <c r="C3261" s="1"/>
    </row>
    <row r="3262" spans="2:6" ht="17" thickBot="1">
      <c r="B3262" s="1" t="s">
        <v>1</v>
      </c>
      <c r="C3262" s="1"/>
      <c r="E3262" s="4" t="s">
        <v>2</v>
      </c>
      <c r="F3262" s="5"/>
    </row>
    <row r="3263" spans="2:6">
      <c r="B3263" s="6"/>
    </row>
    <row r="3264" spans="2:6" ht="16">
      <c r="B3264" s="7" t="s">
        <v>3</v>
      </c>
      <c r="C3264" s="7"/>
      <c r="D3264" s="7"/>
      <c r="E3264" s="7"/>
      <c r="F3264" s="7"/>
    </row>
    <row r="3265" spans="2:6" ht="16">
      <c r="B3265" s="8"/>
      <c r="C3265" s="8"/>
      <c r="D3265" s="8"/>
      <c r="E3265" s="8"/>
    </row>
    <row r="3266" spans="2:6" ht="16">
      <c r="B3266" s="9" t="s">
        <v>4</v>
      </c>
      <c r="C3266" s="13" t="str">
        <f>C3209</f>
        <v>MEJORAMIENTO ESPACIO PUBLICO JJVV LUCILA GODOY ALCAYAGA</v>
      </c>
      <c r="D3266" s="13"/>
      <c r="E3266" s="13"/>
      <c r="F3266" s="14"/>
    </row>
    <row r="3267" spans="2:6" ht="16">
      <c r="B3267" s="12"/>
      <c r="C3267" s="8"/>
      <c r="D3267" s="8"/>
      <c r="E3267" s="8"/>
    </row>
    <row r="3268" spans="2:6" ht="16">
      <c r="B3268" s="9" t="s">
        <v>5</v>
      </c>
      <c r="C3268" s="13" t="s">
        <v>6</v>
      </c>
      <c r="D3268" s="13"/>
      <c r="E3268" s="13"/>
      <c r="F3268" s="14"/>
    </row>
    <row r="3269" spans="2:6" ht="16">
      <c r="B3269" s="9"/>
      <c r="C3269" s="13"/>
      <c r="D3269" s="13"/>
      <c r="E3269" s="13"/>
      <c r="F3269" s="14"/>
    </row>
    <row r="3270" spans="2:6" ht="16">
      <c r="B3270" s="9" t="s">
        <v>7</v>
      </c>
      <c r="C3270" s="13" t="str">
        <f>[1]LGA!A79</f>
        <v>4.3</v>
      </c>
      <c r="D3270" s="13"/>
      <c r="E3270" s="13"/>
      <c r="F3270" s="14"/>
    </row>
    <row r="3271" spans="2:6" ht="16">
      <c r="B3271" s="9" t="s">
        <v>8</v>
      </c>
      <c r="C3271" s="13" t="s">
        <v>219</v>
      </c>
      <c r="D3271" s="13"/>
      <c r="E3271" s="13"/>
      <c r="F3271" s="14"/>
    </row>
    <row r="3272" spans="2:6" ht="16">
      <c r="B3272" s="9" t="s">
        <v>10</v>
      </c>
      <c r="C3272" s="13" t="s">
        <v>95</v>
      </c>
      <c r="D3272" s="13"/>
      <c r="E3272" s="13"/>
      <c r="F3272" s="14"/>
    </row>
    <row r="3273" spans="2:6" ht="16">
      <c r="B3273" s="9" t="s">
        <v>12</v>
      </c>
      <c r="C3273" s="15">
        <f>C3216</f>
        <v>46024</v>
      </c>
      <c r="D3273" s="13"/>
      <c r="E3273" s="13"/>
      <c r="F3273" s="14"/>
    </row>
    <row r="3274" spans="2:6" ht="17" thickBot="1">
      <c r="B3274" s="8"/>
      <c r="C3274" s="8"/>
      <c r="D3274" s="8"/>
      <c r="E3274" s="8"/>
    </row>
    <row r="3275" spans="2:6" ht="15" thickTop="1" thickBot="1">
      <c r="B3275" s="16" t="s">
        <v>13</v>
      </c>
      <c r="C3275" s="17" t="s">
        <v>14</v>
      </c>
      <c r="D3275" s="17" t="s">
        <v>15</v>
      </c>
      <c r="E3275" s="17" t="s">
        <v>16</v>
      </c>
      <c r="F3275" s="18" t="s">
        <v>17</v>
      </c>
    </row>
    <row r="3276" spans="2:6" ht="14" thickTop="1">
      <c r="B3276" s="19"/>
      <c r="C3276" s="19"/>
      <c r="D3276" s="19"/>
      <c r="E3276" s="19"/>
      <c r="F3276" s="19"/>
    </row>
    <row r="3277" spans="2:6">
      <c r="B3277" s="20" t="s">
        <v>220</v>
      </c>
      <c r="C3277" s="21" t="s">
        <v>43</v>
      </c>
      <c r="D3277" s="21">
        <v>0.1</v>
      </c>
      <c r="E3277" s="22">
        <v>40000</v>
      </c>
      <c r="F3277" s="22">
        <f t="shared" ref="F3277:F3282" si="54">E3277*D3277</f>
        <v>4000</v>
      </c>
    </row>
    <row r="3278" spans="2:6">
      <c r="B3278" s="20" t="s">
        <v>221</v>
      </c>
      <c r="C3278" s="21" t="s">
        <v>43</v>
      </c>
      <c r="D3278" s="21">
        <v>1</v>
      </c>
      <c r="E3278" s="22">
        <v>150</v>
      </c>
      <c r="F3278" s="22">
        <f t="shared" si="54"/>
        <v>150</v>
      </c>
    </row>
    <row r="3279" spans="2:6">
      <c r="B3279" s="20" t="s">
        <v>222</v>
      </c>
      <c r="C3279" s="21" t="s">
        <v>43</v>
      </c>
      <c r="D3279" s="21">
        <v>0.2</v>
      </c>
      <c r="E3279" s="22">
        <v>15000</v>
      </c>
      <c r="F3279" s="22">
        <f t="shared" si="54"/>
        <v>3000</v>
      </c>
    </row>
    <row r="3280" spans="2:6">
      <c r="B3280" s="20" t="s">
        <v>223</v>
      </c>
      <c r="C3280" s="21" t="s">
        <v>56</v>
      </c>
      <c r="D3280" s="21">
        <v>3.5999999999999997E-2</v>
      </c>
      <c r="E3280" s="22">
        <v>180000</v>
      </c>
      <c r="F3280" s="22">
        <f t="shared" si="54"/>
        <v>6479.9999999999991</v>
      </c>
    </row>
    <row r="3281" spans="2:6">
      <c r="B3281" s="20"/>
      <c r="C3281" s="21"/>
      <c r="D3281" s="21"/>
      <c r="E3281" s="22"/>
      <c r="F3281" s="22">
        <f t="shared" si="54"/>
        <v>0</v>
      </c>
    </row>
    <row r="3282" spans="2:6">
      <c r="B3282" s="20"/>
      <c r="C3282" s="21"/>
      <c r="D3282" s="21"/>
      <c r="E3282" s="22"/>
      <c r="F3282" s="22">
        <f t="shared" si="54"/>
        <v>0</v>
      </c>
    </row>
    <row r="3283" spans="2:6" ht="17" thickBot="1">
      <c r="B3283" s="6" t="s">
        <v>19</v>
      </c>
      <c r="C3283" s="8"/>
      <c r="D3283" s="8"/>
      <c r="E3283" s="8"/>
      <c r="F3283" s="23">
        <f>SUM(F3277:F3282)</f>
        <v>13630</v>
      </c>
    </row>
    <row r="3284" spans="2:6" ht="17" thickBot="1">
      <c r="B3284" s="8"/>
      <c r="C3284" s="8"/>
      <c r="D3284" s="8"/>
      <c r="E3284" s="8"/>
    </row>
    <row r="3285" spans="2:6" ht="15" thickTop="1" thickBot="1">
      <c r="B3285" s="16" t="s">
        <v>20</v>
      </c>
      <c r="C3285" s="17" t="s">
        <v>14</v>
      </c>
      <c r="D3285" s="17" t="s">
        <v>15</v>
      </c>
      <c r="E3285" s="17" t="s">
        <v>16</v>
      </c>
      <c r="F3285" s="18" t="s">
        <v>17</v>
      </c>
    </row>
    <row r="3286" spans="2:6" ht="17" thickTop="1">
      <c r="B3286" s="8"/>
      <c r="C3286" s="8"/>
      <c r="D3286" s="8"/>
      <c r="E3286" s="8"/>
    </row>
    <row r="3287" spans="2:6">
      <c r="B3287" s="24" t="s">
        <v>21</v>
      </c>
      <c r="C3287" s="20" t="s">
        <v>22</v>
      </c>
      <c r="D3287" s="20">
        <v>2E-3</v>
      </c>
      <c r="E3287" s="22">
        <v>27500</v>
      </c>
      <c r="F3287" s="25">
        <f>E3287*D3287</f>
        <v>55</v>
      </c>
    </row>
    <row r="3288" spans="2:6">
      <c r="B3288" s="20" t="s">
        <v>23</v>
      </c>
      <c r="C3288" s="20" t="s">
        <v>22</v>
      </c>
      <c r="D3288" s="20">
        <v>2E-3</v>
      </c>
      <c r="E3288" s="22">
        <v>15000</v>
      </c>
      <c r="F3288" s="25">
        <f>E3288*D3288</f>
        <v>30</v>
      </c>
    </row>
    <row r="3289" spans="2:6" ht="16">
      <c r="B3289" s="26"/>
      <c r="C3289" s="26"/>
      <c r="D3289" s="26"/>
      <c r="E3289" s="26"/>
      <c r="F3289" s="25">
        <f>E3289*D3289</f>
        <v>0</v>
      </c>
    </row>
    <row r="3290" spans="2:6" ht="16">
      <c r="B3290" s="26"/>
      <c r="C3290" s="26"/>
      <c r="D3290" s="26"/>
      <c r="E3290" s="26"/>
      <c r="F3290" s="25">
        <f>E3290*D3290</f>
        <v>0</v>
      </c>
    </row>
    <row r="3291" spans="2:6" ht="16">
      <c r="B3291" s="27" t="s">
        <v>25</v>
      </c>
      <c r="C3291" s="27" t="s">
        <v>26</v>
      </c>
      <c r="D3291" s="28">
        <v>0.32</v>
      </c>
      <c r="E3291" s="29">
        <f>SUM(E3287:E3290)*D3291</f>
        <v>13600</v>
      </c>
      <c r="F3291" s="25">
        <f>E3291*D3291</f>
        <v>4352</v>
      </c>
    </row>
    <row r="3292" spans="2:6" ht="16">
      <c r="B3292" s="8"/>
      <c r="C3292" s="8"/>
      <c r="D3292" s="8"/>
      <c r="E3292" s="8"/>
    </row>
    <row r="3293" spans="2:6" ht="17" thickBot="1">
      <c r="B3293" s="6" t="s">
        <v>27</v>
      </c>
      <c r="C3293" s="8"/>
      <c r="D3293" s="8"/>
      <c r="E3293" s="8"/>
      <c r="F3293" s="23">
        <f>SUM(F3287:F3292)</f>
        <v>4437</v>
      </c>
    </row>
    <row r="3294" spans="2:6" ht="17" thickBot="1">
      <c r="B3294" s="8"/>
      <c r="C3294" s="8"/>
      <c r="D3294" s="8"/>
      <c r="E3294" s="8"/>
    </row>
    <row r="3295" spans="2:6" ht="15" thickTop="1" thickBot="1">
      <c r="B3295" s="16" t="s">
        <v>28</v>
      </c>
      <c r="C3295" s="17" t="s">
        <v>14</v>
      </c>
      <c r="D3295" s="17" t="s">
        <v>15</v>
      </c>
      <c r="E3295" s="17" t="s">
        <v>16</v>
      </c>
      <c r="F3295" s="18" t="s">
        <v>17</v>
      </c>
    </row>
    <row r="3296" spans="2:6" ht="17" thickTop="1">
      <c r="B3296" s="8"/>
      <c r="C3296" s="8"/>
      <c r="D3296" s="8"/>
      <c r="E3296" s="8"/>
    </row>
    <row r="3297" spans="2:6">
      <c r="B3297" s="20"/>
      <c r="C3297" s="20"/>
      <c r="D3297" s="71"/>
      <c r="E3297" s="22"/>
      <c r="F3297" s="25">
        <f>E3297*D3297</f>
        <v>0</v>
      </c>
    </row>
    <row r="3298" spans="2:6">
      <c r="B3298" s="20" t="s">
        <v>31</v>
      </c>
      <c r="C3298" s="20" t="s">
        <v>32</v>
      </c>
      <c r="D3298" s="71">
        <v>0.16450000000000001</v>
      </c>
      <c r="E3298" s="22">
        <v>25000</v>
      </c>
      <c r="F3298" s="25">
        <f>E3298*D3298</f>
        <v>4112.5</v>
      </c>
    </row>
    <row r="3299" spans="2:6" ht="16">
      <c r="B3299" s="26"/>
      <c r="C3299" s="26"/>
      <c r="D3299" s="26"/>
      <c r="E3299" s="26"/>
      <c r="F3299" s="25">
        <f>E3299*D3299</f>
        <v>0</v>
      </c>
    </row>
    <row r="3300" spans="2:6" ht="16">
      <c r="B3300" s="26"/>
      <c r="C3300" s="26"/>
      <c r="D3300" s="26"/>
      <c r="E3300" s="26"/>
      <c r="F3300" s="25">
        <f>E3300*D3300</f>
        <v>0</v>
      </c>
    </row>
    <row r="3301" spans="2:6" ht="16">
      <c r="B3301" s="30"/>
      <c r="C3301" s="26"/>
      <c r="D3301" s="26"/>
      <c r="E3301" s="26"/>
      <c r="F3301" s="25">
        <f>E3301*D3301</f>
        <v>0</v>
      </c>
    </row>
    <row r="3302" spans="2:6" ht="16">
      <c r="B3302" s="8"/>
      <c r="C3302" s="8"/>
      <c r="D3302" s="8"/>
      <c r="E3302" s="8"/>
    </row>
    <row r="3303" spans="2:6" ht="14" thickBot="1">
      <c r="B3303" s="19" t="s">
        <v>33</v>
      </c>
      <c r="C3303" s="19"/>
      <c r="D3303" s="19"/>
      <c r="E3303" s="19"/>
      <c r="F3303" s="23">
        <f>SUM(F3297:F3302)</f>
        <v>4112.5</v>
      </c>
    </row>
    <row r="3304" spans="2:6" ht="16">
      <c r="B3304" s="8"/>
      <c r="C3304" s="8"/>
      <c r="D3304" s="8"/>
      <c r="E3304" s="8"/>
    </row>
    <row r="3305" spans="2:6" ht="17" thickBot="1">
      <c r="B3305" s="8"/>
      <c r="C3305" s="8"/>
      <c r="D3305" s="8"/>
      <c r="E3305" s="8"/>
    </row>
    <row r="3306" spans="2:6" ht="17" thickBot="1">
      <c r="B3306" s="31" t="s">
        <v>34</v>
      </c>
      <c r="C3306" s="13"/>
      <c r="D3306" s="13"/>
      <c r="E3306" s="13"/>
      <c r="F3306" s="32">
        <f>F3283+F3293+F3303</f>
        <v>22179.5</v>
      </c>
    </row>
    <row r="3307" spans="2:6" ht="17" thickBot="1">
      <c r="B3307" s="31" t="s">
        <v>35</v>
      </c>
      <c r="C3307" s="13"/>
      <c r="D3307" s="13"/>
      <c r="E3307" s="33">
        <v>0.1</v>
      </c>
      <c r="F3307" s="32">
        <f>F3306*E3307</f>
        <v>2217.9500000000003</v>
      </c>
    </row>
    <row r="3308" spans="2:6" ht="17" thickBot="1">
      <c r="B3308" s="31" t="s">
        <v>36</v>
      </c>
      <c r="C3308" s="13"/>
      <c r="D3308" s="13"/>
      <c r="E3308" s="33">
        <v>0.1</v>
      </c>
      <c r="F3308" s="32">
        <f>F3306*E3308</f>
        <v>2217.9500000000003</v>
      </c>
    </row>
    <row r="3309" spans="2:6" ht="17" thickBot="1">
      <c r="B3309" s="34" t="s">
        <v>37</v>
      </c>
      <c r="C3309" s="35"/>
      <c r="D3309" s="35"/>
      <c r="E3309" s="35"/>
      <c r="F3309" s="32">
        <f>SUM(F3306:F3308)</f>
        <v>26615.4</v>
      </c>
    </row>
    <row r="3310" spans="2:6" ht="17" thickBot="1">
      <c r="B3310" s="36"/>
      <c r="C3310" s="8"/>
      <c r="D3310" s="8"/>
      <c r="E3310" s="8"/>
    </row>
    <row r="3311" spans="2:6" ht="18" thickTop="1" thickBot="1">
      <c r="B3311" s="37" t="s">
        <v>38</v>
      </c>
      <c r="C3311" s="8"/>
      <c r="D3311" s="8"/>
      <c r="E3311" s="8"/>
    </row>
    <row r="3312" spans="2:6" ht="18" thickTop="1" thickBot="1">
      <c r="B3312" s="8"/>
      <c r="C3312" s="8"/>
      <c r="D3312" s="8"/>
      <c r="E3312" s="8"/>
    </row>
    <row r="3313" spans="2:6" ht="17" thickTop="1">
      <c r="B3313" s="38"/>
      <c r="C3313" s="13"/>
      <c r="D3313" s="13"/>
      <c r="E3313" s="39"/>
      <c r="F3313" s="40"/>
    </row>
    <row r="3314" spans="2:6" ht="16">
      <c r="B3314" s="38"/>
      <c r="C3314" s="13"/>
      <c r="D3314" s="13"/>
      <c r="E3314" s="41"/>
      <c r="F3314" s="42"/>
    </row>
    <row r="3315" spans="2:6" ht="16">
      <c r="B3315" s="38"/>
      <c r="C3315" s="13"/>
      <c r="D3315" s="13"/>
      <c r="E3315" s="41"/>
      <c r="F3315" s="42"/>
    </row>
    <row r="3316" spans="2:6" ht="17" thickBot="1">
      <c r="B3316" s="54"/>
      <c r="C3316" s="35"/>
      <c r="D3316" s="35"/>
      <c r="E3316" s="44"/>
      <c r="F3316" s="45"/>
    </row>
    <row r="3317" spans="2:6" ht="17" thickTop="1">
      <c r="B3317" s="46"/>
      <c r="C3317" s="46"/>
      <c r="D3317" s="46"/>
      <c r="E3317" s="47"/>
      <c r="F3317" s="47"/>
    </row>
    <row r="3318" spans="2:6" ht="14" thickBot="1">
      <c r="B3318" s="1" t="s">
        <v>0</v>
      </c>
      <c r="C3318" s="1"/>
    </row>
    <row r="3319" spans="2:6" ht="17" thickBot="1">
      <c r="B3319" s="1" t="s">
        <v>1</v>
      </c>
      <c r="C3319" s="1"/>
      <c r="E3319" s="4" t="s">
        <v>2</v>
      </c>
      <c r="F3319" s="5"/>
    </row>
    <row r="3320" spans="2:6">
      <c r="B3320" s="6"/>
    </row>
    <row r="3321" spans="2:6" ht="16">
      <c r="B3321" s="7" t="s">
        <v>3</v>
      </c>
      <c r="C3321" s="7"/>
      <c r="D3321" s="7"/>
      <c r="E3321" s="7"/>
      <c r="F3321" s="7"/>
    </row>
    <row r="3322" spans="2:6" ht="16">
      <c r="B3322" s="8"/>
      <c r="C3322" s="8"/>
      <c r="D3322" s="8"/>
      <c r="E3322" s="8"/>
    </row>
    <row r="3323" spans="2:6" ht="16">
      <c r="B3323" s="9" t="s">
        <v>4</v>
      </c>
      <c r="C3323" s="13" t="str">
        <f>C3209</f>
        <v>MEJORAMIENTO ESPACIO PUBLICO JJVV LUCILA GODOY ALCAYAGA</v>
      </c>
      <c r="D3323" s="13"/>
      <c r="E3323" s="13"/>
      <c r="F3323" s="14"/>
    </row>
    <row r="3324" spans="2:6" ht="16">
      <c r="B3324" s="12"/>
      <c r="C3324" s="8"/>
      <c r="D3324" s="8"/>
      <c r="E3324" s="8"/>
    </row>
    <row r="3325" spans="2:6" ht="16">
      <c r="B3325" s="9" t="s">
        <v>5</v>
      </c>
      <c r="C3325" s="13" t="s">
        <v>6</v>
      </c>
      <c r="D3325" s="13"/>
      <c r="E3325" s="13"/>
      <c r="F3325" s="14"/>
    </row>
    <row r="3326" spans="2:6" ht="16">
      <c r="B3326" s="9"/>
      <c r="C3326" s="13"/>
      <c r="D3326" s="13"/>
      <c r="E3326" s="13"/>
      <c r="F3326" s="14"/>
    </row>
    <row r="3327" spans="2:6" ht="16">
      <c r="B3327" s="9" t="s">
        <v>7</v>
      </c>
      <c r="C3327" s="13" t="str">
        <f>[1]LGA!A80</f>
        <v>4.4</v>
      </c>
      <c r="D3327" s="13"/>
      <c r="E3327" s="13"/>
      <c r="F3327" s="14"/>
    </row>
    <row r="3328" spans="2:6" ht="16">
      <c r="B3328" s="9" t="s">
        <v>8</v>
      </c>
      <c r="C3328" s="13" t="s">
        <v>209</v>
      </c>
      <c r="D3328" s="13"/>
      <c r="E3328" s="13"/>
      <c r="F3328" s="14"/>
    </row>
    <row r="3329" spans="2:6" ht="16">
      <c r="B3329" s="9" t="s">
        <v>10</v>
      </c>
      <c r="C3329" s="13" t="s">
        <v>95</v>
      </c>
      <c r="D3329" s="13"/>
      <c r="E3329" s="13"/>
      <c r="F3329" s="14"/>
    </row>
    <row r="3330" spans="2:6" ht="16">
      <c r="B3330" s="9" t="s">
        <v>12</v>
      </c>
      <c r="C3330" s="15">
        <f>C3216</f>
        <v>46024</v>
      </c>
      <c r="D3330" s="13"/>
      <c r="E3330" s="13"/>
      <c r="F3330" s="14"/>
    </row>
    <row r="3331" spans="2:6" ht="17" thickBot="1">
      <c r="B3331" s="8"/>
      <c r="C3331" s="8"/>
      <c r="D3331" s="8"/>
      <c r="E3331" s="8"/>
    </row>
    <row r="3332" spans="2:6" ht="15" thickTop="1" thickBot="1">
      <c r="B3332" s="16" t="s">
        <v>13</v>
      </c>
      <c r="C3332" s="17" t="s">
        <v>14</v>
      </c>
      <c r="D3332" s="17" t="s">
        <v>15</v>
      </c>
      <c r="E3332" s="17" t="s">
        <v>16</v>
      </c>
      <c r="F3332" s="18" t="s">
        <v>17</v>
      </c>
    </row>
    <row r="3333" spans="2:6" ht="14" thickTop="1">
      <c r="B3333" s="19"/>
      <c r="C3333" s="19"/>
      <c r="D3333" s="19"/>
      <c r="E3333" s="19"/>
      <c r="F3333" s="19"/>
    </row>
    <row r="3334" spans="2:6">
      <c r="B3334" s="20" t="s">
        <v>210</v>
      </c>
      <c r="C3334" s="21" t="s">
        <v>56</v>
      </c>
      <c r="D3334" s="21">
        <v>3.0000000000000001E-3</v>
      </c>
      <c r="E3334" s="22">
        <v>150000</v>
      </c>
      <c r="F3334" s="22">
        <f t="shared" ref="F3334:F3339" si="55">E3334*D3334</f>
        <v>450</v>
      </c>
    </row>
    <row r="3335" spans="2:6">
      <c r="B3335" s="20"/>
      <c r="C3335" s="21"/>
      <c r="D3335" s="21"/>
      <c r="E3335" s="22"/>
      <c r="F3335" s="22">
        <f t="shared" si="55"/>
        <v>0</v>
      </c>
    </row>
    <row r="3336" spans="2:6">
      <c r="B3336" s="20"/>
      <c r="C3336" s="21"/>
      <c r="D3336" s="21"/>
      <c r="E3336" s="22"/>
      <c r="F3336" s="22">
        <f t="shared" si="55"/>
        <v>0</v>
      </c>
    </row>
    <row r="3337" spans="2:6">
      <c r="B3337" s="20"/>
      <c r="C3337" s="21"/>
      <c r="D3337" s="21"/>
      <c r="E3337" s="22"/>
      <c r="F3337" s="22">
        <f t="shared" si="55"/>
        <v>0</v>
      </c>
    </row>
    <row r="3338" spans="2:6">
      <c r="B3338" s="20"/>
      <c r="C3338" s="21"/>
      <c r="D3338" s="21"/>
      <c r="E3338" s="22"/>
      <c r="F3338" s="22">
        <f t="shared" si="55"/>
        <v>0</v>
      </c>
    </row>
    <row r="3339" spans="2:6">
      <c r="B3339" s="20"/>
      <c r="C3339" s="21"/>
      <c r="D3339" s="21"/>
      <c r="E3339" s="22"/>
      <c r="F3339" s="22">
        <f t="shared" si="55"/>
        <v>0</v>
      </c>
    </row>
    <row r="3340" spans="2:6" ht="17" thickBot="1">
      <c r="B3340" s="6" t="s">
        <v>19</v>
      </c>
      <c r="C3340" s="8"/>
      <c r="D3340" s="8"/>
      <c r="E3340" s="8"/>
      <c r="F3340" s="23">
        <f>SUM(F3334:F3339)</f>
        <v>450</v>
      </c>
    </row>
    <row r="3341" spans="2:6" ht="17" thickBot="1">
      <c r="B3341" s="8"/>
      <c r="C3341" s="8"/>
      <c r="D3341" s="8"/>
      <c r="E3341" s="8"/>
    </row>
    <row r="3342" spans="2:6" ht="15" thickTop="1" thickBot="1">
      <c r="B3342" s="16" t="s">
        <v>20</v>
      </c>
      <c r="C3342" s="17" t="s">
        <v>14</v>
      </c>
      <c r="D3342" s="17" t="s">
        <v>15</v>
      </c>
      <c r="E3342" s="17" t="s">
        <v>16</v>
      </c>
      <c r="F3342" s="18" t="s">
        <v>17</v>
      </c>
    </row>
    <row r="3343" spans="2:6" ht="17" thickTop="1">
      <c r="B3343" s="8"/>
      <c r="C3343" s="8"/>
      <c r="D3343" s="8"/>
      <c r="E3343" s="8"/>
    </row>
    <row r="3344" spans="2:6">
      <c r="B3344" s="24" t="s">
        <v>211</v>
      </c>
      <c r="C3344" s="20" t="s">
        <v>22</v>
      </c>
      <c r="D3344" s="20">
        <v>4.3999999999999997E-2</v>
      </c>
      <c r="E3344" s="22">
        <v>27500</v>
      </c>
      <c r="F3344" s="25">
        <f>E3344*D3344</f>
        <v>1210</v>
      </c>
    </row>
    <row r="3345" spans="2:6">
      <c r="B3345" s="20" t="s">
        <v>23</v>
      </c>
      <c r="C3345" s="20" t="s">
        <v>22</v>
      </c>
      <c r="D3345" s="20">
        <v>4.3999999999999997E-2</v>
      </c>
      <c r="E3345" s="22">
        <v>15000</v>
      </c>
      <c r="F3345" s="25">
        <f>E3345*D3345</f>
        <v>660</v>
      </c>
    </row>
    <row r="3346" spans="2:6" ht="16">
      <c r="B3346" s="26"/>
      <c r="C3346" s="26"/>
      <c r="D3346" s="26"/>
      <c r="E3346" s="26"/>
      <c r="F3346" s="25">
        <f>E3346*D3346</f>
        <v>0</v>
      </c>
    </row>
    <row r="3347" spans="2:6" ht="16">
      <c r="B3347" s="26"/>
      <c r="C3347" s="26"/>
      <c r="D3347" s="26"/>
      <c r="E3347" s="26"/>
      <c r="F3347" s="25">
        <f>E3347*D3347</f>
        <v>0</v>
      </c>
    </row>
    <row r="3348" spans="2:6" ht="16">
      <c r="B3348" s="27" t="s">
        <v>25</v>
      </c>
      <c r="C3348" s="27" t="s">
        <v>26</v>
      </c>
      <c r="D3348" s="28">
        <v>0.32</v>
      </c>
      <c r="E3348" s="29">
        <f>SUM(E3344:E3347)*D3348</f>
        <v>13600</v>
      </c>
      <c r="F3348" s="25">
        <f>E3348*D3348</f>
        <v>4352</v>
      </c>
    </row>
    <row r="3349" spans="2:6" ht="16">
      <c r="B3349" s="8"/>
      <c r="C3349" s="8"/>
      <c r="D3349" s="8"/>
      <c r="E3349" s="8"/>
    </row>
    <row r="3350" spans="2:6" ht="17" thickBot="1">
      <c r="B3350" s="6" t="s">
        <v>27</v>
      </c>
      <c r="C3350" s="8"/>
      <c r="D3350" s="8"/>
      <c r="E3350" s="8"/>
      <c r="F3350" s="23">
        <f>SUM(F3344:F3349)</f>
        <v>6222</v>
      </c>
    </row>
    <row r="3351" spans="2:6" ht="17" thickBot="1">
      <c r="B3351" s="8"/>
      <c r="C3351" s="8"/>
      <c r="D3351" s="8"/>
      <c r="E3351" s="8"/>
    </row>
    <row r="3352" spans="2:6" ht="15" thickTop="1" thickBot="1">
      <c r="B3352" s="16" t="s">
        <v>28</v>
      </c>
      <c r="C3352" s="17" t="s">
        <v>14</v>
      </c>
      <c r="D3352" s="17" t="s">
        <v>15</v>
      </c>
      <c r="E3352" s="17" t="s">
        <v>16</v>
      </c>
      <c r="F3352" s="18" t="s">
        <v>17</v>
      </c>
    </row>
    <row r="3353" spans="2:6" ht="17" thickTop="1">
      <c r="B3353" s="8"/>
      <c r="C3353" s="8"/>
      <c r="D3353" s="8"/>
      <c r="E3353" s="8"/>
    </row>
    <row r="3354" spans="2:6">
      <c r="B3354" s="20" t="s">
        <v>212</v>
      </c>
      <c r="C3354" s="20" t="s">
        <v>32</v>
      </c>
      <c r="D3354" s="71">
        <v>2E-3</v>
      </c>
      <c r="E3354" s="22">
        <v>35000</v>
      </c>
      <c r="F3354" s="25">
        <f>E3354*D3354</f>
        <v>70</v>
      </c>
    </row>
    <row r="3355" spans="2:6">
      <c r="B3355" s="20" t="s">
        <v>213</v>
      </c>
      <c r="C3355" s="20" t="s">
        <v>30</v>
      </c>
      <c r="D3355" s="71">
        <v>1E-3</v>
      </c>
      <c r="E3355" s="22">
        <v>54000</v>
      </c>
      <c r="F3355" s="25">
        <f>E3355*D3355</f>
        <v>54</v>
      </c>
    </row>
    <row r="3356" spans="2:6" ht="16">
      <c r="B3356" s="26"/>
      <c r="C3356" s="26"/>
      <c r="D3356" s="26"/>
      <c r="E3356" s="26"/>
      <c r="F3356" s="25">
        <f>E3356*D3356</f>
        <v>0</v>
      </c>
    </row>
    <row r="3357" spans="2:6" ht="16">
      <c r="B3357" s="26"/>
      <c r="C3357" s="26"/>
      <c r="D3357" s="26"/>
      <c r="E3357" s="26"/>
      <c r="F3357" s="25">
        <f>E3357*D3357</f>
        <v>0</v>
      </c>
    </row>
    <row r="3358" spans="2:6" ht="16">
      <c r="B3358" s="30"/>
      <c r="C3358" s="26"/>
      <c r="D3358" s="26"/>
      <c r="E3358" s="26"/>
      <c r="F3358" s="25">
        <f>E3358*D3358</f>
        <v>0</v>
      </c>
    </row>
    <row r="3359" spans="2:6" ht="16">
      <c r="B3359" s="8"/>
      <c r="C3359" s="8"/>
      <c r="D3359" s="8"/>
      <c r="E3359" s="8"/>
    </row>
    <row r="3360" spans="2:6" ht="14" thickBot="1">
      <c r="B3360" s="19" t="s">
        <v>33</v>
      </c>
      <c r="C3360" s="19"/>
      <c r="D3360" s="19"/>
      <c r="E3360" s="19"/>
      <c r="F3360" s="23">
        <f>SUM(F3354:F3359)</f>
        <v>124</v>
      </c>
    </row>
    <row r="3361" spans="2:6" ht="16">
      <c r="B3361" s="8"/>
      <c r="C3361" s="8"/>
      <c r="D3361" s="8"/>
      <c r="E3361" s="8"/>
    </row>
    <row r="3362" spans="2:6" ht="17" thickBot="1">
      <c r="B3362" s="8"/>
      <c r="C3362" s="8"/>
      <c r="D3362" s="8"/>
      <c r="E3362" s="8"/>
    </row>
    <row r="3363" spans="2:6" ht="17" thickBot="1">
      <c r="B3363" s="31" t="s">
        <v>34</v>
      </c>
      <c r="C3363" s="13"/>
      <c r="D3363" s="13"/>
      <c r="E3363" s="13"/>
      <c r="F3363" s="32">
        <f>F3340+F3350+F3360</f>
        <v>6796</v>
      </c>
    </row>
    <row r="3364" spans="2:6" ht="17" thickBot="1">
      <c r="B3364" s="31" t="s">
        <v>35</v>
      </c>
      <c r="C3364" s="13"/>
      <c r="D3364" s="13"/>
      <c r="E3364" s="33">
        <v>0.1</v>
      </c>
      <c r="F3364" s="32">
        <f>F3363*E3364</f>
        <v>679.6</v>
      </c>
    </row>
    <row r="3365" spans="2:6" ht="17" thickBot="1">
      <c r="B3365" s="31" t="s">
        <v>36</v>
      </c>
      <c r="C3365" s="13"/>
      <c r="D3365" s="13"/>
      <c r="E3365" s="33">
        <v>0.1</v>
      </c>
      <c r="F3365" s="32">
        <f>F3363*E3365</f>
        <v>679.6</v>
      </c>
    </row>
    <row r="3366" spans="2:6" ht="17" thickBot="1">
      <c r="B3366" s="34" t="s">
        <v>37</v>
      </c>
      <c r="C3366" s="35"/>
      <c r="D3366" s="35"/>
      <c r="E3366" s="35"/>
      <c r="F3366" s="32">
        <f>SUM(F3363:F3365)</f>
        <v>8155.2000000000007</v>
      </c>
    </row>
    <row r="3367" spans="2:6" ht="17" thickBot="1">
      <c r="B3367" s="36"/>
      <c r="C3367" s="8"/>
      <c r="D3367" s="8"/>
      <c r="E3367" s="8"/>
    </row>
    <row r="3368" spans="2:6" ht="18" thickTop="1" thickBot="1">
      <c r="B3368" s="37" t="s">
        <v>38</v>
      </c>
      <c r="C3368" s="8"/>
      <c r="D3368" s="8"/>
      <c r="E3368" s="8"/>
    </row>
    <row r="3369" spans="2:6" ht="18" thickTop="1" thickBot="1">
      <c r="B3369" s="8"/>
      <c r="C3369" s="8"/>
      <c r="D3369" s="8"/>
      <c r="E3369" s="8"/>
    </row>
    <row r="3370" spans="2:6" ht="17" thickTop="1">
      <c r="B3370" s="38"/>
      <c r="C3370" s="13"/>
      <c r="D3370" s="13"/>
      <c r="E3370" s="39"/>
      <c r="F3370" s="40"/>
    </row>
    <row r="3371" spans="2:6" ht="16">
      <c r="B3371" s="38"/>
      <c r="C3371" s="13"/>
      <c r="D3371" s="13"/>
      <c r="E3371" s="41"/>
      <c r="F3371" s="42"/>
    </row>
    <row r="3372" spans="2:6" ht="16">
      <c r="B3372" s="38"/>
      <c r="C3372" s="13"/>
      <c r="D3372" s="13"/>
      <c r="E3372" s="41"/>
      <c r="F3372" s="42"/>
    </row>
    <row r="3373" spans="2:6" ht="17" thickBot="1">
      <c r="B3373" s="54"/>
      <c r="C3373" s="35"/>
      <c r="D3373" s="35"/>
      <c r="E3373" s="44"/>
      <c r="F3373" s="45"/>
    </row>
    <row r="3374" spans="2:6" ht="14" thickTop="1"/>
    <row r="3375" spans="2:6" ht="14" thickBot="1">
      <c r="B3375" s="1" t="s">
        <v>0</v>
      </c>
      <c r="C3375" s="1"/>
    </row>
    <row r="3376" spans="2:6" ht="17" thickBot="1">
      <c r="B3376" s="1" t="s">
        <v>1</v>
      </c>
      <c r="C3376" s="1"/>
      <c r="E3376" s="4" t="s">
        <v>2</v>
      </c>
      <c r="F3376" s="5"/>
    </row>
    <row r="3377" spans="2:6">
      <c r="B3377" s="6"/>
    </row>
    <row r="3378" spans="2:6" ht="16">
      <c r="B3378" s="7" t="s">
        <v>3</v>
      </c>
      <c r="C3378" s="7"/>
      <c r="D3378" s="7"/>
      <c r="E3378" s="7"/>
      <c r="F3378" s="7"/>
    </row>
    <row r="3379" spans="2:6" ht="16">
      <c r="B3379" s="8"/>
      <c r="C3379" s="8"/>
      <c r="D3379" s="8"/>
      <c r="E3379" s="8"/>
    </row>
    <row r="3380" spans="2:6" ht="16">
      <c r="B3380" s="9" t="s">
        <v>4</v>
      </c>
      <c r="C3380" s="13" t="str">
        <f>C3323</f>
        <v>MEJORAMIENTO ESPACIO PUBLICO JJVV LUCILA GODOY ALCAYAGA</v>
      </c>
      <c r="D3380" s="13"/>
      <c r="E3380" s="13"/>
      <c r="F3380" s="14"/>
    </row>
    <row r="3381" spans="2:6" ht="16">
      <c r="B3381" s="12"/>
      <c r="C3381" s="8"/>
      <c r="D3381" s="8"/>
      <c r="E3381" s="8"/>
    </row>
    <row r="3382" spans="2:6" ht="16">
      <c r="B3382" s="9" t="s">
        <v>5</v>
      </c>
      <c r="C3382" s="13" t="s">
        <v>6</v>
      </c>
      <c r="D3382" s="13"/>
      <c r="E3382" s="13"/>
      <c r="F3382" s="14"/>
    </row>
    <row r="3383" spans="2:6" ht="16">
      <c r="B3383" s="9"/>
      <c r="C3383" s="13"/>
      <c r="D3383" s="13"/>
      <c r="E3383" s="13"/>
      <c r="F3383" s="14"/>
    </row>
    <row r="3384" spans="2:6" ht="16">
      <c r="B3384" s="9" t="s">
        <v>7</v>
      </c>
      <c r="C3384" s="13" t="str">
        <f>[1]LGA!A81</f>
        <v>4.5</v>
      </c>
      <c r="D3384" s="13"/>
      <c r="E3384" s="13"/>
      <c r="F3384" s="14"/>
    </row>
    <row r="3385" spans="2:6" ht="16">
      <c r="B3385" s="9" t="s">
        <v>8</v>
      </c>
      <c r="C3385" s="13" t="s">
        <v>214</v>
      </c>
      <c r="D3385" s="13"/>
      <c r="E3385" s="13"/>
      <c r="F3385" s="14"/>
    </row>
    <row r="3386" spans="2:6" ht="16">
      <c r="B3386" s="9" t="s">
        <v>10</v>
      </c>
      <c r="C3386" s="13" t="s">
        <v>95</v>
      </c>
      <c r="D3386" s="13"/>
      <c r="E3386" s="13"/>
      <c r="F3386" s="14"/>
    </row>
    <row r="3387" spans="2:6" ht="16">
      <c r="B3387" s="9" t="s">
        <v>12</v>
      </c>
      <c r="C3387" s="15">
        <f>C3330</f>
        <v>46024</v>
      </c>
      <c r="D3387" s="13"/>
      <c r="E3387" s="13"/>
      <c r="F3387" s="14"/>
    </row>
    <row r="3388" spans="2:6" ht="17" thickBot="1">
      <c r="B3388" s="8"/>
      <c r="C3388" s="8"/>
      <c r="D3388" s="8"/>
      <c r="E3388" s="8"/>
    </row>
    <row r="3389" spans="2:6" ht="15" thickTop="1" thickBot="1">
      <c r="B3389" s="16" t="s">
        <v>13</v>
      </c>
      <c r="C3389" s="17" t="s">
        <v>14</v>
      </c>
      <c r="D3389" s="17" t="s">
        <v>15</v>
      </c>
      <c r="E3389" s="17" t="s">
        <v>16</v>
      </c>
      <c r="F3389" s="18" t="s">
        <v>17</v>
      </c>
    </row>
    <row r="3390" spans="2:6" ht="14" thickTop="1">
      <c r="B3390" s="19"/>
      <c r="C3390" s="19"/>
      <c r="D3390" s="19"/>
      <c r="E3390" s="19"/>
      <c r="F3390" s="19"/>
    </row>
    <row r="3391" spans="2:6">
      <c r="B3391" s="20" t="s">
        <v>215</v>
      </c>
      <c r="C3391" s="21" t="s">
        <v>56</v>
      </c>
      <c r="D3391" s="21">
        <v>0.02</v>
      </c>
      <c r="E3391" s="22">
        <v>160000</v>
      </c>
      <c r="F3391" s="22">
        <f t="shared" ref="F3391:F3396" si="56">E3391*D3391</f>
        <v>3200</v>
      </c>
    </row>
    <row r="3392" spans="2:6">
      <c r="B3392" s="20"/>
      <c r="C3392" s="21"/>
      <c r="D3392" s="21"/>
      <c r="E3392" s="22"/>
      <c r="F3392" s="22">
        <f t="shared" si="56"/>
        <v>0</v>
      </c>
    </row>
    <row r="3393" spans="2:6">
      <c r="B3393" s="20"/>
      <c r="C3393" s="21"/>
      <c r="D3393" s="21"/>
      <c r="E3393" s="22"/>
      <c r="F3393" s="22">
        <f t="shared" si="56"/>
        <v>0</v>
      </c>
    </row>
    <row r="3394" spans="2:6">
      <c r="B3394" s="20"/>
      <c r="C3394" s="21"/>
      <c r="D3394" s="21"/>
      <c r="E3394" s="22"/>
      <c r="F3394" s="22">
        <f t="shared" si="56"/>
        <v>0</v>
      </c>
    </row>
    <row r="3395" spans="2:6">
      <c r="B3395" s="20"/>
      <c r="C3395" s="21"/>
      <c r="D3395" s="21"/>
      <c r="E3395" s="22"/>
      <c r="F3395" s="22">
        <f t="shared" si="56"/>
        <v>0</v>
      </c>
    </row>
    <row r="3396" spans="2:6">
      <c r="B3396" s="20"/>
      <c r="C3396" s="21"/>
      <c r="D3396" s="21"/>
      <c r="E3396" s="22"/>
      <c r="F3396" s="22">
        <f t="shared" si="56"/>
        <v>0</v>
      </c>
    </row>
    <row r="3397" spans="2:6" ht="17" thickBot="1">
      <c r="B3397" s="6" t="s">
        <v>19</v>
      </c>
      <c r="C3397" s="8"/>
      <c r="D3397" s="8"/>
      <c r="E3397" s="8"/>
      <c r="F3397" s="23">
        <f>SUM(F3391:F3396)</f>
        <v>3200</v>
      </c>
    </row>
    <row r="3398" spans="2:6" ht="17" thickBot="1">
      <c r="B3398" s="8"/>
      <c r="C3398" s="8"/>
      <c r="D3398" s="8"/>
      <c r="E3398" s="8"/>
    </row>
    <row r="3399" spans="2:6" ht="15" thickTop="1" thickBot="1">
      <c r="B3399" s="16" t="s">
        <v>20</v>
      </c>
      <c r="C3399" s="17" t="s">
        <v>14</v>
      </c>
      <c r="D3399" s="17" t="s">
        <v>15</v>
      </c>
      <c r="E3399" s="17" t="s">
        <v>16</v>
      </c>
      <c r="F3399" s="18" t="s">
        <v>17</v>
      </c>
    </row>
    <row r="3400" spans="2:6" ht="17" thickTop="1">
      <c r="B3400" s="8"/>
      <c r="C3400" s="8"/>
      <c r="D3400" s="8"/>
      <c r="E3400" s="8"/>
    </row>
    <row r="3401" spans="2:6">
      <c r="B3401" s="24" t="s">
        <v>211</v>
      </c>
      <c r="C3401" s="20" t="s">
        <v>22</v>
      </c>
      <c r="D3401" s="20">
        <v>4.4000000000000003E-3</v>
      </c>
      <c r="E3401" s="22">
        <v>27500</v>
      </c>
      <c r="F3401" s="25">
        <f>E3401*D3401</f>
        <v>121.00000000000001</v>
      </c>
    </row>
    <row r="3402" spans="2:6">
      <c r="B3402" s="20" t="s">
        <v>23</v>
      </c>
      <c r="C3402" s="20" t="s">
        <v>22</v>
      </c>
      <c r="D3402" s="20">
        <v>4.4000000000000003E-3</v>
      </c>
      <c r="E3402" s="22">
        <v>15000</v>
      </c>
      <c r="F3402" s="25">
        <f>E3402*D3402</f>
        <v>66</v>
      </c>
    </row>
    <row r="3403" spans="2:6" ht="16">
      <c r="B3403" s="26"/>
      <c r="C3403" s="26"/>
      <c r="D3403" s="26"/>
      <c r="E3403" s="26"/>
      <c r="F3403" s="25">
        <f>E3403*D3403</f>
        <v>0</v>
      </c>
    </row>
    <row r="3404" spans="2:6" ht="16">
      <c r="B3404" s="26"/>
      <c r="C3404" s="26"/>
      <c r="D3404" s="26"/>
      <c r="E3404" s="26"/>
      <c r="F3404" s="25">
        <f>E3404*D3404</f>
        <v>0</v>
      </c>
    </row>
    <row r="3405" spans="2:6" ht="16">
      <c r="B3405" s="27" t="s">
        <v>25</v>
      </c>
      <c r="C3405" s="27" t="s">
        <v>26</v>
      </c>
      <c r="D3405" s="28">
        <v>0.32</v>
      </c>
      <c r="E3405" s="29">
        <f>SUM(E3401:E3404)*D3405</f>
        <v>13600</v>
      </c>
      <c r="F3405" s="25">
        <f>E3405*D3405</f>
        <v>4352</v>
      </c>
    </row>
    <row r="3406" spans="2:6" ht="16">
      <c r="B3406" s="8"/>
      <c r="C3406" s="8"/>
      <c r="D3406" s="8"/>
      <c r="E3406" s="8"/>
    </row>
    <row r="3407" spans="2:6" ht="17" thickBot="1">
      <c r="B3407" s="6" t="s">
        <v>27</v>
      </c>
      <c r="C3407" s="8"/>
      <c r="D3407" s="8"/>
      <c r="E3407" s="8"/>
      <c r="F3407" s="23">
        <f>SUM(F3401:F3406)</f>
        <v>4539</v>
      </c>
    </row>
    <row r="3408" spans="2:6" ht="17" thickBot="1">
      <c r="B3408" s="8"/>
      <c r="C3408" s="8"/>
      <c r="D3408" s="8"/>
      <c r="E3408" s="8"/>
    </row>
    <row r="3409" spans="2:6" ht="15" thickTop="1" thickBot="1">
      <c r="B3409" s="16" t="s">
        <v>28</v>
      </c>
      <c r="C3409" s="17" t="s">
        <v>14</v>
      </c>
      <c r="D3409" s="17" t="s">
        <v>15</v>
      </c>
      <c r="E3409" s="17" t="s">
        <v>16</v>
      </c>
      <c r="F3409" s="18" t="s">
        <v>17</v>
      </c>
    </row>
    <row r="3410" spans="2:6" ht="17" thickTop="1">
      <c r="B3410" s="8"/>
      <c r="C3410" s="8"/>
      <c r="D3410" s="8"/>
      <c r="E3410" s="8"/>
    </row>
    <row r="3411" spans="2:6">
      <c r="B3411" s="20" t="s">
        <v>212</v>
      </c>
      <c r="C3411" s="20" t="s">
        <v>32</v>
      </c>
      <c r="D3411" s="71">
        <v>2E-3</v>
      </c>
      <c r="E3411" s="22">
        <v>35000</v>
      </c>
      <c r="F3411" s="25">
        <f>E3411*D3411</f>
        <v>70</v>
      </c>
    </row>
    <row r="3412" spans="2:6">
      <c r="B3412" s="20" t="s">
        <v>213</v>
      </c>
      <c r="C3412" s="20" t="s">
        <v>30</v>
      </c>
      <c r="D3412" s="71">
        <v>1E-3</v>
      </c>
      <c r="E3412" s="22">
        <v>54000</v>
      </c>
      <c r="F3412" s="25">
        <f>E3412*D3412</f>
        <v>54</v>
      </c>
    </row>
    <row r="3413" spans="2:6" ht="16">
      <c r="B3413" s="26"/>
      <c r="C3413" s="26"/>
      <c r="D3413" s="26"/>
      <c r="E3413" s="26"/>
      <c r="F3413" s="25">
        <f>E3413*D3413</f>
        <v>0</v>
      </c>
    </row>
    <row r="3414" spans="2:6" ht="16">
      <c r="B3414" s="26"/>
      <c r="C3414" s="26"/>
      <c r="D3414" s="26"/>
      <c r="E3414" s="26"/>
      <c r="F3414" s="25">
        <f>E3414*D3414</f>
        <v>0</v>
      </c>
    </row>
    <row r="3415" spans="2:6" ht="16">
      <c r="B3415" s="30"/>
      <c r="C3415" s="26"/>
      <c r="D3415" s="26"/>
      <c r="E3415" s="26"/>
      <c r="F3415" s="25">
        <f>E3415*D3415</f>
        <v>0</v>
      </c>
    </row>
    <row r="3416" spans="2:6" ht="16">
      <c r="B3416" s="8"/>
      <c r="C3416" s="8"/>
      <c r="D3416" s="8"/>
      <c r="E3416" s="8"/>
    </row>
    <row r="3417" spans="2:6" ht="14" thickBot="1">
      <c r="B3417" s="19" t="s">
        <v>33</v>
      </c>
      <c r="C3417" s="19"/>
      <c r="D3417" s="19"/>
      <c r="E3417" s="19"/>
      <c r="F3417" s="23">
        <f>SUM(F3411:F3416)</f>
        <v>124</v>
      </c>
    </row>
    <row r="3418" spans="2:6" ht="16">
      <c r="B3418" s="8"/>
      <c r="C3418" s="8"/>
      <c r="D3418" s="8"/>
      <c r="E3418" s="8"/>
    </row>
    <row r="3419" spans="2:6" ht="17" thickBot="1">
      <c r="B3419" s="8"/>
      <c r="C3419" s="8"/>
      <c r="D3419" s="8"/>
      <c r="E3419" s="8"/>
    </row>
    <row r="3420" spans="2:6" ht="17" thickBot="1">
      <c r="B3420" s="31" t="s">
        <v>34</v>
      </c>
      <c r="C3420" s="13"/>
      <c r="D3420" s="13"/>
      <c r="E3420" s="13"/>
      <c r="F3420" s="32">
        <f>F3397+F3407+F3417</f>
        <v>7863</v>
      </c>
    </row>
    <row r="3421" spans="2:6" ht="17" thickBot="1">
      <c r="B3421" s="31" t="s">
        <v>35</v>
      </c>
      <c r="C3421" s="13"/>
      <c r="D3421" s="13"/>
      <c r="E3421" s="33">
        <v>0.1</v>
      </c>
      <c r="F3421" s="32">
        <f>F3420*E3421</f>
        <v>786.30000000000007</v>
      </c>
    </row>
    <row r="3422" spans="2:6" ht="17" thickBot="1">
      <c r="B3422" s="31" t="s">
        <v>36</v>
      </c>
      <c r="C3422" s="13"/>
      <c r="D3422" s="13"/>
      <c r="E3422" s="33">
        <v>0.1</v>
      </c>
      <c r="F3422" s="32">
        <f>F3420*E3422</f>
        <v>786.30000000000007</v>
      </c>
    </row>
    <row r="3423" spans="2:6" ht="17" thickBot="1">
      <c r="B3423" s="34" t="s">
        <v>37</v>
      </c>
      <c r="C3423" s="35"/>
      <c r="D3423" s="35"/>
      <c r="E3423" s="35"/>
      <c r="F3423" s="32">
        <f>SUM(F3420:F3422)</f>
        <v>9435.5999999999985</v>
      </c>
    </row>
    <row r="3424" spans="2:6" ht="17" thickBot="1">
      <c r="B3424" s="36"/>
      <c r="C3424" s="8"/>
      <c r="D3424" s="8"/>
      <c r="E3424" s="8"/>
    </row>
    <row r="3425" spans="2:6" ht="18" thickTop="1" thickBot="1">
      <c r="B3425" s="37" t="s">
        <v>38</v>
      </c>
      <c r="C3425" s="8"/>
      <c r="D3425" s="8"/>
      <c r="E3425" s="8"/>
    </row>
    <row r="3426" spans="2:6" ht="18" thickTop="1" thickBot="1">
      <c r="B3426" s="8"/>
      <c r="C3426" s="8"/>
      <c r="D3426" s="8"/>
      <c r="E3426" s="8"/>
    </row>
    <row r="3427" spans="2:6" ht="17" thickTop="1">
      <c r="B3427" s="38"/>
      <c r="C3427" s="13"/>
      <c r="D3427" s="13"/>
      <c r="E3427" s="39"/>
      <c r="F3427" s="40"/>
    </row>
    <row r="3428" spans="2:6" ht="16">
      <c r="B3428" s="38"/>
      <c r="C3428" s="13"/>
      <c r="D3428" s="13"/>
      <c r="E3428" s="41"/>
      <c r="F3428" s="42"/>
    </row>
    <row r="3429" spans="2:6" ht="16">
      <c r="B3429" s="38"/>
      <c r="C3429" s="13"/>
      <c r="D3429" s="13"/>
      <c r="E3429" s="41"/>
      <c r="F3429" s="42"/>
    </row>
    <row r="3430" spans="2:6" ht="17" thickBot="1">
      <c r="B3430" s="54"/>
      <c r="C3430" s="35"/>
      <c r="D3430" s="35"/>
      <c r="E3430" s="44"/>
      <c r="F3430" s="45"/>
    </row>
    <row r="3431" spans="2:6" ht="17" thickTop="1">
      <c r="B3431" s="46"/>
      <c r="C3431" s="46"/>
      <c r="D3431" s="46"/>
      <c r="E3431" s="47"/>
      <c r="F3431" s="47"/>
    </row>
    <row r="3432" spans="2:6" ht="14" thickBot="1">
      <c r="B3432" s="1" t="s">
        <v>0</v>
      </c>
      <c r="C3432" s="1"/>
    </row>
    <row r="3433" spans="2:6" ht="17" thickBot="1">
      <c r="B3433" s="1" t="s">
        <v>1</v>
      </c>
      <c r="C3433" s="1"/>
      <c r="E3433" s="4" t="s">
        <v>2</v>
      </c>
      <c r="F3433" s="5"/>
    </row>
    <row r="3434" spans="2:6">
      <c r="B3434" s="6"/>
    </row>
    <row r="3435" spans="2:6" ht="16">
      <c r="B3435" s="7" t="s">
        <v>3</v>
      </c>
      <c r="C3435" s="7"/>
      <c r="D3435" s="7"/>
      <c r="E3435" s="7"/>
      <c r="F3435" s="7"/>
    </row>
    <row r="3436" spans="2:6" ht="16">
      <c r="B3436" s="8"/>
      <c r="C3436" s="8"/>
      <c r="D3436" s="8"/>
      <c r="E3436" s="8"/>
    </row>
    <row r="3437" spans="2:6" ht="16">
      <c r="B3437" s="9" t="s">
        <v>4</v>
      </c>
      <c r="C3437" s="13" t="str">
        <f>C3380</f>
        <v>MEJORAMIENTO ESPACIO PUBLICO JJVV LUCILA GODOY ALCAYAGA</v>
      </c>
      <c r="D3437" s="13"/>
      <c r="E3437" s="13"/>
      <c r="F3437" s="14"/>
    </row>
    <row r="3438" spans="2:6" ht="16">
      <c r="B3438" s="12"/>
      <c r="C3438" s="8"/>
      <c r="D3438" s="8"/>
      <c r="E3438" s="8"/>
    </row>
    <row r="3439" spans="2:6" ht="16">
      <c r="B3439" s="9" t="s">
        <v>5</v>
      </c>
      <c r="C3439" s="13" t="s">
        <v>6</v>
      </c>
      <c r="D3439" s="13"/>
      <c r="E3439" s="13"/>
      <c r="F3439" s="14"/>
    </row>
    <row r="3440" spans="2:6" ht="16">
      <c r="B3440" s="9"/>
      <c r="C3440" s="13"/>
      <c r="D3440" s="13"/>
      <c r="E3440" s="13"/>
      <c r="F3440" s="14"/>
    </row>
    <row r="3441" spans="2:6" ht="16">
      <c r="B3441" s="9" t="s">
        <v>7</v>
      </c>
      <c r="C3441" s="13" t="str">
        <f>[1]LGA!A82</f>
        <v>4.6</v>
      </c>
      <c r="D3441" s="13"/>
      <c r="E3441" s="13"/>
      <c r="F3441" s="14"/>
    </row>
    <row r="3442" spans="2:6" ht="16">
      <c r="B3442" s="9" t="s">
        <v>8</v>
      </c>
      <c r="C3442" s="13" t="s">
        <v>224</v>
      </c>
      <c r="D3442" s="13"/>
      <c r="E3442" s="13"/>
      <c r="F3442" s="14"/>
    </row>
    <row r="3443" spans="2:6" ht="16">
      <c r="B3443" s="9" t="s">
        <v>10</v>
      </c>
      <c r="C3443" s="13" t="s">
        <v>54</v>
      </c>
      <c r="D3443" s="13"/>
      <c r="E3443" s="13"/>
      <c r="F3443" s="14"/>
    </row>
    <row r="3444" spans="2:6" ht="16">
      <c r="B3444" s="9" t="s">
        <v>12</v>
      </c>
      <c r="C3444" s="15">
        <f>C3387</f>
        <v>46024</v>
      </c>
      <c r="D3444" s="13"/>
      <c r="E3444" s="13"/>
      <c r="F3444" s="14"/>
    </row>
    <row r="3445" spans="2:6" ht="17" thickBot="1">
      <c r="B3445" s="8"/>
      <c r="C3445" s="8"/>
      <c r="D3445" s="8"/>
      <c r="E3445" s="8"/>
    </row>
    <row r="3446" spans="2:6" ht="15" thickTop="1" thickBot="1">
      <c r="B3446" s="16" t="s">
        <v>13</v>
      </c>
      <c r="C3446" s="17" t="s">
        <v>14</v>
      </c>
      <c r="D3446" s="17" t="s">
        <v>15</v>
      </c>
      <c r="E3446" s="17" t="s">
        <v>16</v>
      </c>
      <c r="F3446" s="18" t="s">
        <v>17</v>
      </c>
    </row>
    <row r="3447" spans="2:6" ht="14" thickTop="1">
      <c r="B3447" s="19"/>
      <c r="C3447" s="19"/>
      <c r="D3447" s="19"/>
      <c r="E3447" s="19"/>
      <c r="F3447" s="19"/>
    </row>
    <row r="3448" spans="2:6">
      <c r="B3448" s="20" t="s">
        <v>225</v>
      </c>
      <c r="C3448" s="21" t="s">
        <v>56</v>
      </c>
      <c r="D3448" s="21">
        <v>1</v>
      </c>
      <c r="E3448" s="22">
        <v>110000</v>
      </c>
      <c r="F3448" s="22">
        <f t="shared" ref="F3448:F3454" si="57">E3448*D3448</f>
        <v>110000</v>
      </c>
    </row>
    <row r="3449" spans="2:6">
      <c r="B3449" s="20" t="s">
        <v>226</v>
      </c>
      <c r="C3449" s="21" t="s">
        <v>56</v>
      </c>
      <c r="D3449" s="21">
        <v>1</v>
      </c>
      <c r="E3449" s="22">
        <v>65000</v>
      </c>
      <c r="F3449" s="22">
        <f t="shared" si="57"/>
        <v>65000</v>
      </c>
    </row>
    <row r="3450" spans="2:6">
      <c r="B3450" s="20" t="s">
        <v>227</v>
      </c>
      <c r="C3450" s="21" t="s">
        <v>56</v>
      </c>
      <c r="D3450" s="21">
        <v>1</v>
      </c>
      <c r="E3450" s="22">
        <v>25000</v>
      </c>
      <c r="F3450" s="22">
        <f t="shared" si="57"/>
        <v>25000</v>
      </c>
    </row>
    <row r="3451" spans="2:6">
      <c r="B3451" s="20" t="s">
        <v>228</v>
      </c>
      <c r="C3451" s="21" t="s">
        <v>56</v>
      </c>
      <c r="D3451" s="21">
        <v>1</v>
      </c>
      <c r="E3451" s="22">
        <v>45900</v>
      </c>
      <c r="F3451" s="22">
        <f t="shared" si="57"/>
        <v>45900</v>
      </c>
    </row>
    <row r="3452" spans="2:6">
      <c r="B3452" s="20" t="s">
        <v>229</v>
      </c>
      <c r="C3452" s="21" t="s">
        <v>56</v>
      </c>
      <c r="D3452" s="21">
        <v>1</v>
      </c>
      <c r="E3452" s="22">
        <v>6500</v>
      </c>
      <c r="F3452" s="22">
        <f t="shared" si="57"/>
        <v>6500</v>
      </c>
    </row>
    <row r="3453" spans="2:6">
      <c r="B3453" s="20" t="s">
        <v>230</v>
      </c>
      <c r="C3453" s="21" t="s">
        <v>170</v>
      </c>
      <c r="D3453" s="21">
        <v>1</v>
      </c>
      <c r="E3453" s="22">
        <v>45300</v>
      </c>
      <c r="F3453" s="22">
        <f t="shared" si="57"/>
        <v>45300</v>
      </c>
    </row>
    <row r="3454" spans="2:6">
      <c r="B3454" s="20" t="s">
        <v>231</v>
      </c>
      <c r="C3454" s="21" t="s">
        <v>87</v>
      </c>
      <c r="D3454" s="21">
        <v>1</v>
      </c>
      <c r="E3454" s="22">
        <v>96800</v>
      </c>
      <c r="F3454" s="22">
        <f t="shared" si="57"/>
        <v>96800</v>
      </c>
    </row>
    <row r="3455" spans="2:6" ht="17" thickBot="1">
      <c r="B3455" s="6" t="s">
        <v>19</v>
      </c>
      <c r="C3455" s="8"/>
      <c r="D3455" s="8"/>
      <c r="E3455" s="8"/>
      <c r="F3455" s="23">
        <f>SUM(F3448:F3453)</f>
        <v>297700</v>
      </c>
    </row>
    <row r="3456" spans="2:6" ht="17" thickBot="1">
      <c r="B3456" s="8"/>
      <c r="C3456" s="8"/>
      <c r="D3456" s="8"/>
      <c r="E3456" s="8"/>
    </row>
    <row r="3457" spans="2:6" ht="15" thickTop="1" thickBot="1">
      <c r="B3457" s="16" t="s">
        <v>20</v>
      </c>
      <c r="C3457" s="17" t="s">
        <v>14</v>
      </c>
      <c r="D3457" s="17" t="s">
        <v>15</v>
      </c>
      <c r="E3457" s="17" t="s">
        <v>16</v>
      </c>
      <c r="F3457" s="18" t="s">
        <v>17</v>
      </c>
    </row>
    <row r="3458" spans="2:6" ht="17" thickTop="1">
      <c r="B3458" s="8"/>
      <c r="C3458" s="8"/>
      <c r="D3458" s="8"/>
      <c r="E3458" s="8"/>
    </row>
    <row r="3459" spans="2:6">
      <c r="B3459" s="24" t="s">
        <v>194</v>
      </c>
      <c r="C3459" s="20" t="s">
        <v>22</v>
      </c>
      <c r="D3459" s="20">
        <v>8</v>
      </c>
      <c r="E3459" s="22">
        <v>35000</v>
      </c>
      <c r="F3459" s="25">
        <f>E3459*D3459</f>
        <v>280000</v>
      </c>
    </row>
    <row r="3460" spans="2:6">
      <c r="B3460" s="20" t="s">
        <v>23</v>
      </c>
      <c r="C3460" s="20" t="s">
        <v>22</v>
      </c>
      <c r="D3460" s="20">
        <v>8</v>
      </c>
      <c r="E3460" s="22">
        <v>15000</v>
      </c>
      <c r="F3460" s="25">
        <f>E3460*D3460</f>
        <v>120000</v>
      </c>
    </row>
    <row r="3461" spans="2:6" ht="16">
      <c r="B3461" s="26"/>
      <c r="C3461" s="26"/>
      <c r="D3461" s="26"/>
      <c r="E3461" s="26"/>
      <c r="F3461" s="25">
        <f>E3461*D3461</f>
        <v>0</v>
      </c>
    </row>
    <row r="3462" spans="2:6" ht="16">
      <c r="B3462" s="26"/>
      <c r="C3462" s="26"/>
      <c r="D3462" s="26"/>
      <c r="E3462" s="26"/>
      <c r="F3462" s="25">
        <f>E3462*D3462</f>
        <v>0</v>
      </c>
    </row>
    <row r="3463" spans="2:6" ht="16">
      <c r="B3463" s="27" t="s">
        <v>25</v>
      </c>
      <c r="C3463" s="27" t="s">
        <v>26</v>
      </c>
      <c r="D3463" s="28">
        <v>0.32</v>
      </c>
      <c r="E3463" s="29">
        <f>SUM(E3459:E3462)*D3463</f>
        <v>16000</v>
      </c>
      <c r="F3463" s="25">
        <f>SUM(F3459:F3461)*D3463</f>
        <v>128000</v>
      </c>
    </row>
    <row r="3464" spans="2:6" ht="16">
      <c r="B3464" s="8"/>
      <c r="C3464" s="8"/>
      <c r="D3464" s="8"/>
      <c r="E3464" s="8"/>
    </row>
    <row r="3465" spans="2:6" ht="17" thickBot="1">
      <c r="B3465" s="6" t="s">
        <v>27</v>
      </c>
      <c r="C3465" s="8"/>
      <c r="D3465" s="8"/>
      <c r="E3465" s="8"/>
      <c r="F3465" s="23">
        <f>SUM(F3459:F3464)</f>
        <v>528000</v>
      </c>
    </row>
    <row r="3466" spans="2:6" ht="17" thickBot="1">
      <c r="B3466" s="8"/>
      <c r="C3466" s="8"/>
      <c r="D3466" s="8"/>
      <c r="E3466" s="8"/>
    </row>
    <row r="3467" spans="2:6" ht="15" thickTop="1" thickBot="1">
      <c r="B3467" s="16" t="s">
        <v>28</v>
      </c>
      <c r="C3467" s="17" t="s">
        <v>14</v>
      </c>
      <c r="D3467" s="17" t="s">
        <v>15</v>
      </c>
      <c r="E3467" s="17" t="s">
        <v>16</v>
      </c>
      <c r="F3467" s="18" t="s">
        <v>17</v>
      </c>
    </row>
    <row r="3468" spans="2:6" ht="17" thickTop="1">
      <c r="B3468" s="8"/>
      <c r="C3468" s="8"/>
      <c r="D3468" s="8"/>
      <c r="E3468" s="8"/>
    </row>
    <row r="3469" spans="2:6">
      <c r="B3469" s="20"/>
      <c r="C3469" s="20"/>
      <c r="D3469" s="20"/>
      <c r="E3469" s="22"/>
      <c r="F3469" s="25">
        <f>E3469*D3469</f>
        <v>0</v>
      </c>
    </row>
    <row r="3470" spans="2:6">
      <c r="B3470" s="20" t="s">
        <v>31</v>
      </c>
      <c r="C3470" s="20" t="s">
        <v>32</v>
      </c>
      <c r="D3470" s="71">
        <v>1</v>
      </c>
      <c r="E3470" s="22">
        <v>25000</v>
      </c>
      <c r="F3470" s="25">
        <f>E3470*D3470</f>
        <v>25000</v>
      </c>
    </row>
    <row r="3471" spans="2:6" ht="16">
      <c r="B3471" s="26" t="s">
        <v>232</v>
      </c>
      <c r="C3471" s="26" t="s">
        <v>30</v>
      </c>
      <c r="D3471" s="71">
        <v>1</v>
      </c>
      <c r="E3471" s="22">
        <v>50000</v>
      </c>
      <c r="F3471" s="25">
        <f>E3471*D3471</f>
        <v>50000</v>
      </c>
    </row>
    <row r="3472" spans="2:6" ht="16">
      <c r="B3472" s="26" t="s">
        <v>233</v>
      </c>
      <c r="C3472" s="26" t="s">
        <v>30</v>
      </c>
      <c r="D3472" s="71">
        <v>1</v>
      </c>
      <c r="E3472" s="22">
        <v>25000</v>
      </c>
      <c r="F3472" s="25">
        <f>E3472*D3472</f>
        <v>25000</v>
      </c>
    </row>
    <row r="3473" spans="2:6" ht="16">
      <c r="B3473" s="8"/>
      <c r="C3473" s="8"/>
      <c r="D3473" s="8"/>
      <c r="E3473" s="8"/>
    </row>
    <row r="3474" spans="2:6" ht="14" thickBot="1">
      <c r="B3474" s="19" t="s">
        <v>33</v>
      </c>
      <c r="C3474" s="19"/>
      <c r="D3474" s="19"/>
      <c r="E3474" s="19"/>
      <c r="F3474" s="23">
        <f>SUM(F3468:F3473)</f>
        <v>100000</v>
      </c>
    </row>
    <row r="3475" spans="2:6">
      <c r="B3475" s="19"/>
      <c r="C3475" s="19"/>
      <c r="D3475" s="19"/>
      <c r="E3475" s="19"/>
      <c r="F3475" s="74"/>
    </row>
    <row r="3476" spans="2:6" ht="14" thickBot="1">
      <c r="B3476" s="19"/>
      <c r="C3476" s="19"/>
      <c r="D3476" s="19"/>
      <c r="E3476" s="19"/>
      <c r="F3476" s="19"/>
    </row>
    <row r="3477" spans="2:6" ht="17" thickBot="1">
      <c r="B3477" s="31" t="s">
        <v>34</v>
      </c>
      <c r="C3477" s="13"/>
      <c r="D3477" s="13"/>
      <c r="E3477" s="13"/>
      <c r="F3477" s="32">
        <f>F3455+F3465+F3474</f>
        <v>925700</v>
      </c>
    </row>
    <row r="3478" spans="2:6" ht="17" thickBot="1">
      <c r="B3478" s="31" t="s">
        <v>35</v>
      </c>
      <c r="C3478" s="13"/>
      <c r="D3478" s="13"/>
      <c r="E3478" s="33">
        <v>0.1</v>
      </c>
      <c r="F3478" s="32">
        <f>F3477*E3478</f>
        <v>92570</v>
      </c>
    </row>
    <row r="3479" spans="2:6" ht="17" thickBot="1">
      <c r="B3479" s="31" t="s">
        <v>36</v>
      </c>
      <c r="C3479" s="13"/>
      <c r="D3479" s="13"/>
      <c r="E3479" s="33">
        <v>0.1</v>
      </c>
      <c r="F3479" s="32">
        <f>F3477*E3479</f>
        <v>92570</v>
      </c>
    </row>
    <row r="3480" spans="2:6" ht="17" thickBot="1">
      <c r="B3480" s="34" t="s">
        <v>37</v>
      </c>
      <c r="C3480" s="35"/>
      <c r="D3480" s="35"/>
      <c r="E3480" s="35"/>
      <c r="F3480" s="32">
        <f>SUM(F3477:F3479)</f>
        <v>1110840</v>
      </c>
    </row>
    <row r="3481" spans="2:6" ht="17" thickBot="1">
      <c r="B3481" s="36"/>
      <c r="C3481" s="8"/>
      <c r="D3481" s="8"/>
      <c r="E3481" s="8"/>
    </row>
    <row r="3482" spans="2:6" ht="18" thickTop="1" thickBot="1">
      <c r="B3482" s="37" t="s">
        <v>38</v>
      </c>
      <c r="C3482" s="8"/>
      <c r="D3482" s="8"/>
      <c r="E3482" s="8"/>
    </row>
    <row r="3483" spans="2:6" ht="18" thickTop="1" thickBot="1">
      <c r="B3483" s="8"/>
      <c r="C3483" s="8"/>
      <c r="D3483" s="8"/>
      <c r="E3483" s="8"/>
    </row>
    <row r="3484" spans="2:6" ht="17" thickTop="1">
      <c r="B3484" s="38"/>
      <c r="C3484" s="13"/>
      <c r="D3484" s="13"/>
      <c r="E3484" s="39"/>
      <c r="F3484" s="40"/>
    </row>
    <row r="3485" spans="2:6" ht="16">
      <c r="B3485" s="38"/>
      <c r="C3485" s="13"/>
      <c r="D3485" s="13"/>
      <c r="E3485" s="41"/>
      <c r="F3485" s="42"/>
    </row>
    <row r="3486" spans="2:6" ht="16">
      <c r="B3486" s="38"/>
      <c r="C3486" s="13"/>
      <c r="D3486" s="13"/>
      <c r="E3486" s="41"/>
      <c r="F3486" s="42"/>
    </row>
    <row r="3487" spans="2:6" ht="17" thickBot="1">
      <c r="B3487" s="54"/>
      <c r="C3487" s="35"/>
      <c r="D3487" s="35"/>
      <c r="E3487" s="44"/>
      <c r="F3487" s="45"/>
    </row>
    <row r="3488" spans="2:6" ht="17" thickTop="1">
      <c r="B3488" s="46"/>
      <c r="C3488" s="46"/>
      <c r="D3488" s="46"/>
      <c r="E3488" s="47"/>
      <c r="F3488" s="47"/>
    </row>
    <row r="3489" spans="2:6" ht="14" thickBot="1">
      <c r="B3489" s="1" t="s">
        <v>0</v>
      </c>
      <c r="C3489" s="1"/>
    </row>
    <row r="3490" spans="2:6" ht="17" thickBot="1">
      <c r="B3490" s="1" t="s">
        <v>1</v>
      </c>
      <c r="C3490" s="1"/>
      <c r="E3490" s="4" t="s">
        <v>2</v>
      </c>
      <c r="F3490" s="5"/>
    </row>
    <row r="3491" spans="2:6">
      <c r="B3491" s="6"/>
    </row>
    <row r="3492" spans="2:6" ht="16">
      <c r="B3492" s="7" t="s">
        <v>3</v>
      </c>
      <c r="C3492" s="7"/>
      <c r="D3492" s="7"/>
      <c r="E3492" s="7"/>
      <c r="F3492" s="7"/>
    </row>
    <row r="3493" spans="2:6" ht="16">
      <c r="B3493" s="8"/>
      <c r="C3493" s="8"/>
      <c r="D3493" s="8"/>
      <c r="E3493" s="8"/>
    </row>
    <row r="3494" spans="2:6" ht="16">
      <c r="B3494" s="9" t="s">
        <v>4</v>
      </c>
      <c r="C3494" s="13" t="str">
        <f>C3437</f>
        <v>MEJORAMIENTO ESPACIO PUBLICO JJVV LUCILA GODOY ALCAYAGA</v>
      </c>
      <c r="D3494" s="13"/>
      <c r="E3494" s="13"/>
      <c r="F3494" s="14"/>
    </row>
    <row r="3495" spans="2:6" ht="16">
      <c r="B3495" s="12"/>
      <c r="C3495" s="8"/>
      <c r="D3495" s="8"/>
      <c r="E3495" s="8"/>
    </row>
    <row r="3496" spans="2:6" ht="16">
      <c r="B3496" s="9" t="s">
        <v>5</v>
      </c>
      <c r="C3496" s="13" t="s">
        <v>6</v>
      </c>
      <c r="D3496" s="13"/>
      <c r="E3496" s="13"/>
      <c r="F3496" s="14"/>
    </row>
    <row r="3497" spans="2:6" ht="16">
      <c r="B3497" s="9"/>
      <c r="C3497" s="13"/>
      <c r="D3497" s="13"/>
      <c r="E3497" s="13"/>
      <c r="F3497" s="14"/>
    </row>
    <row r="3498" spans="2:6" ht="16">
      <c r="B3498" s="9" t="s">
        <v>7</v>
      </c>
      <c r="C3498" s="13" t="str">
        <f>[1]LGA!A83</f>
        <v>4.7</v>
      </c>
      <c r="D3498" s="13"/>
      <c r="E3498" s="13"/>
      <c r="F3498" s="14"/>
    </row>
    <row r="3499" spans="2:6" ht="16">
      <c r="B3499" s="9" t="s">
        <v>8</v>
      </c>
      <c r="C3499" s="13" t="s">
        <v>234</v>
      </c>
      <c r="D3499" s="13"/>
      <c r="E3499" s="13"/>
      <c r="F3499" s="14"/>
    </row>
    <row r="3500" spans="2:6" ht="16">
      <c r="B3500" s="9" t="s">
        <v>10</v>
      </c>
      <c r="C3500" s="13" t="s">
        <v>235</v>
      </c>
      <c r="D3500" s="13"/>
      <c r="E3500" s="13"/>
      <c r="F3500" s="14"/>
    </row>
    <row r="3501" spans="2:6" ht="16">
      <c r="B3501" s="9" t="s">
        <v>12</v>
      </c>
      <c r="C3501" s="15">
        <f>C3444</f>
        <v>46024</v>
      </c>
      <c r="D3501" s="13"/>
      <c r="E3501" s="13"/>
      <c r="F3501" s="14"/>
    </row>
    <row r="3502" spans="2:6" ht="17" thickBot="1">
      <c r="B3502" s="8"/>
      <c r="C3502" s="8"/>
      <c r="D3502" s="8"/>
      <c r="E3502" s="8"/>
    </row>
    <row r="3503" spans="2:6" ht="15" thickTop="1" thickBot="1">
      <c r="B3503" s="16" t="s">
        <v>13</v>
      </c>
      <c r="C3503" s="17" t="s">
        <v>14</v>
      </c>
      <c r="D3503" s="17" t="s">
        <v>15</v>
      </c>
      <c r="E3503" s="17" t="s">
        <v>16</v>
      </c>
      <c r="F3503" s="18" t="s">
        <v>17</v>
      </c>
    </row>
    <row r="3504" spans="2:6" ht="14" thickTop="1">
      <c r="B3504" s="19"/>
      <c r="C3504" s="19"/>
      <c r="D3504" s="19"/>
      <c r="E3504" s="19"/>
      <c r="F3504" s="19"/>
    </row>
    <row r="3505" spans="2:6">
      <c r="B3505" s="20" t="s">
        <v>236</v>
      </c>
      <c r="C3505" s="21" t="s">
        <v>56</v>
      </c>
      <c r="D3505" s="21">
        <v>2</v>
      </c>
      <c r="E3505" s="22">
        <v>45800</v>
      </c>
      <c r="F3505" s="22">
        <f t="shared" ref="F3505:F3511" si="58">E3505*D3505</f>
        <v>91600</v>
      </c>
    </row>
    <row r="3506" spans="2:6">
      <c r="B3506" s="20" t="s">
        <v>237</v>
      </c>
      <c r="C3506" s="21" t="s">
        <v>56</v>
      </c>
      <c r="D3506" s="21">
        <v>2</v>
      </c>
      <c r="E3506" s="22">
        <v>78000</v>
      </c>
      <c r="F3506" s="22">
        <f t="shared" si="58"/>
        <v>156000</v>
      </c>
    </row>
    <row r="3507" spans="2:6">
      <c r="B3507" s="20" t="s">
        <v>238</v>
      </c>
      <c r="C3507" s="21" t="s">
        <v>56</v>
      </c>
      <c r="D3507" s="21">
        <v>2</v>
      </c>
      <c r="E3507" s="22">
        <v>5200</v>
      </c>
      <c r="F3507" s="22">
        <f t="shared" si="58"/>
        <v>10400</v>
      </c>
    </row>
    <row r="3508" spans="2:6">
      <c r="B3508" s="20" t="s">
        <v>239</v>
      </c>
      <c r="C3508" s="21" t="s">
        <v>56</v>
      </c>
      <c r="D3508" s="21">
        <v>2</v>
      </c>
      <c r="E3508" s="22">
        <v>78000</v>
      </c>
      <c r="F3508" s="22">
        <f t="shared" si="58"/>
        <v>156000</v>
      </c>
    </row>
    <row r="3509" spans="2:6">
      <c r="B3509" s="20" t="s">
        <v>229</v>
      </c>
      <c r="C3509" s="21" t="s">
        <v>56</v>
      </c>
      <c r="D3509" s="21">
        <v>1</v>
      </c>
      <c r="E3509" s="22">
        <v>2500</v>
      </c>
      <c r="F3509" s="22">
        <f t="shared" si="58"/>
        <v>2500</v>
      </c>
    </row>
    <row r="3510" spans="2:6">
      <c r="B3510" s="20" t="s">
        <v>230</v>
      </c>
      <c r="C3510" s="21" t="s">
        <v>170</v>
      </c>
      <c r="D3510" s="21">
        <v>1</v>
      </c>
      <c r="E3510" s="22">
        <v>8000</v>
      </c>
      <c r="F3510" s="22">
        <f t="shared" si="58"/>
        <v>8000</v>
      </c>
    </row>
    <row r="3511" spans="2:6">
      <c r="B3511" s="20" t="s">
        <v>240</v>
      </c>
      <c r="C3511" s="21" t="s">
        <v>154</v>
      </c>
      <c r="D3511" s="21">
        <v>1</v>
      </c>
      <c r="E3511" s="22">
        <v>12000</v>
      </c>
      <c r="F3511" s="22">
        <f t="shared" si="58"/>
        <v>12000</v>
      </c>
    </row>
    <row r="3512" spans="2:6" ht="17" thickBot="1">
      <c r="B3512" s="6" t="s">
        <v>19</v>
      </c>
      <c r="C3512" s="8"/>
      <c r="D3512" s="8"/>
      <c r="E3512" s="8"/>
      <c r="F3512" s="23">
        <f>SUM(F3505:F3510)</f>
        <v>424500</v>
      </c>
    </row>
    <row r="3513" spans="2:6" ht="17" thickBot="1">
      <c r="B3513" s="8"/>
      <c r="C3513" s="8"/>
      <c r="D3513" s="8"/>
      <c r="E3513" s="8"/>
    </row>
    <row r="3514" spans="2:6" ht="15" thickTop="1" thickBot="1">
      <c r="B3514" s="16" t="s">
        <v>20</v>
      </c>
      <c r="C3514" s="17" t="s">
        <v>14</v>
      </c>
      <c r="D3514" s="17" t="s">
        <v>15</v>
      </c>
      <c r="E3514" s="17" t="s">
        <v>16</v>
      </c>
      <c r="F3514" s="18" t="s">
        <v>17</v>
      </c>
    </row>
    <row r="3515" spans="2:6" ht="17" thickTop="1">
      <c r="B3515" s="8"/>
      <c r="C3515" s="8"/>
      <c r="D3515" s="8"/>
      <c r="E3515" s="8"/>
    </row>
    <row r="3516" spans="2:6">
      <c r="B3516" s="24" t="s">
        <v>21</v>
      </c>
      <c r="C3516" s="20" t="s">
        <v>22</v>
      </c>
      <c r="D3516" s="20">
        <v>4.3999999999999997E-2</v>
      </c>
      <c r="E3516" s="22">
        <v>27500</v>
      </c>
      <c r="F3516" s="25">
        <f>E3516*D3516</f>
        <v>1210</v>
      </c>
    </row>
    <row r="3517" spans="2:6">
      <c r="B3517" s="20" t="s">
        <v>23</v>
      </c>
      <c r="C3517" s="20" t="s">
        <v>22</v>
      </c>
      <c r="D3517" s="20">
        <v>4.3999999999999997E-2</v>
      </c>
      <c r="E3517" s="22">
        <v>15000</v>
      </c>
      <c r="F3517" s="25">
        <f>E3517*D3517</f>
        <v>660</v>
      </c>
    </row>
    <row r="3518" spans="2:6" ht="16">
      <c r="B3518" s="26"/>
      <c r="C3518" s="26"/>
      <c r="D3518" s="26"/>
      <c r="E3518" s="26"/>
      <c r="F3518" s="25">
        <f>E3518*D3518</f>
        <v>0</v>
      </c>
    </row>
    <row r="3519" spans="2:6" ht="16">
      <c r="B3519" s="26"/>
      <c r="C3519" s="26"/>
      <c r="D3519" s="26"/>
      <c r="E3519" s="26"/>
      <c r="F3519" s="25">
        <f>E3519*D3519</f>
        <v>0</v>
      </c>
    </row>
    <row r="3520" spans="2:6" ht="16">
      <c r="B3520" s="27" t="s">
        <v>25</v>
      </c>
      <c r="C3520" s="27" t="s">
        <v>26</v>
      </c>
      <c r="D3520" s="28">
        <v>0.32</v>
      </c>
      <c r="E3520" s="29">
        <f>SUM(E3516:E3519)*D3520</f>
        <v>13600</v>
      </c>
      <c r="F3520" s="25">
        <f>SUM(F3516:F3518)*D3520</f>
        <v>598.4</v>
      </c>
    </row>
    <row r="3521" spans="2:6" ht="16">
      <c r="B3521" s="8"/>
      <c r="C3521" s="8"/>
      <c r="D3521" s="8"/>
      <c r="E3521" s="8"/>
    </row>
    <row r="3522" spans="2:6" ht="17" thickBot="1">
      <c r="B3522" s="6" t="s">
        <v>27</v>
      </c>
      <c r="C3522" s="8"/>
      <c r="D3522" s="8"/>
      <c r="E3522" s="8"/>
      <c r="F3522" s="23">
        <f>SUM(F3516:F3521)</f>
        <v>2468.4</v>
      </c>
    </row>
    <row r="3523" spans="2:6" ht="17" thickBot="1">
      <c r="B3523" s="8"/>
      <c r="C3523" s="8"/>
      <c r="D3523" s="8"/>
      <c r="E3523" s="8"/>
    </row>
    <row r="3524" spans="2:6" ht="15" thickTop="1" thickBot="1">
      <c r="B3524" s="16" t="s">
        <v>28</v>
      </c>
      <c r="C3524" s="17" t="s">
        <v>14</v>
      </c>
      <c r="D3524" s="17" t="s">
        <v>15</v>
      </c>
      <c r="E3524" s="17" t="s">
        <v>16</v>
      </c>
      <c r="F3524" s="18" t="s">
        <v>17</v>
      </c>
    </row>
    <row r="3525" spans="2:6" ht="17" thickTop="1">
      <c r="B3525" s="8"/>
      <c r="C3525" s="8"/>
      <c r="D3525" s="8"/>
      <c r="E3525" s="8"/>
    </row>
    <row r="3526" spans="2:6">
      <c r="B3526" s="20"/>
      <c r="C3526" s="20"/>
      <c r="D3526" s="20"/>
      <c r="E3526" s="22"/>
      <c r="F3526" s="25">
        <f>E3526*D3526</f>
        <v>0</v>
      </c>
    </row>
    <row r="3527" spans="2:6">
      <c r="B3527" s="20" t="s">
        <v>31</v>
      </c>
      <c r="C3527" s="20" t="s">
        <v>32</v>
      </c>
      <c r="D3527" s="71">
        <v>1</v>
      </c>
      <c r="E3527" s="22">
        <v>25000</v>
      </c>
      <c r="F3527" s="25">
        <f>E3527*D3527</f>
        <v>25000</v>
      </c>
    </row>
    <row r="3528" spans="2:6" ht="16">
      <c r="B3528" s="26" t="s">
        <v>232</v>
      </c>
      <c r="C3528" s="26" t="s">
        <v>30</v>
      </c>
      <c r="D3528" s="71">
        <v>1</v>
      </c>
      <c r="E3528" s="22">
        <v>50000</v>
      </c>
      <c r="F3528" s="25">
        <f>E3528*D3528</f>
        <v>50000</v>
      </c>
    </row>
    <row r="3529" spans="2:6" ht="16">
      <c r="B3529" s="26" t="s">
        <v>233</v>
      </c>
      <c r="C3529" s="26" t="s">
        <v>30</v>
      </c>
      <c r="D3529" s="71">
        <v>1</v>
      </c>
      <c r="E3529" s="22">
        <v>25000</v>
      </c>
      <c r="F3529" s="25">
        <f>E3529*D3529</f>
        <v>25000</v>
      </c>
    </row>
    <row r="3530" spans="2:6" ht="16">
      <c r="B3530" s="8"/>
      <c r="C3530" s="8"/>
      <c r="D3530" s="8"/>
      <c r="E3530" s="8"/>
    </row>
    <row r="3531" spans="2:6" ht="14" thickBot="1">
      <c r="B3531" s="19" t="s">
        <v>33</v>
      </c>
      <c r="C3531" s="19"/>
      <c r="D3531" s="19"/>
      <c r="E3531" s="19"/>
      <c r="F3531" s="23">
        <f>SUM(F3525:F3530)</f>
        <v>100000</v>
      </c>
    </row>
    <row r="3532" spans="2:6">
      <c r="B3532" s="19"/>
      <c r="C3532" s="19"/>
      <c r="D3532" s="19"/>
      <c r="E3532" s="19"/>
      <c r="F3532" s="74"/>
    </row>
    <row r="3533" spans="2:6" ht="14" thickBot="1">
      <c r="B3533" s="19"/>
      <c r="C3533" s="19"/>
      <c r="D3533" s="19"/>
      <c r="E3533" s="19"/>
      <c r="F3533" s="19"/>
    </row>
    <row r="3534" spans="2:6" ht="17" thickBot="1">
      <c r="B3534" s="31" t="s">
        <v>34</v>
      </c>
      <c r="C3534" s="13"/>
      <c r="D3534" s="13"/>
      <c r="E3534" s="13"/>
      <c r="F3534" s="32">
        <f>F3512+F3522+F3531</f>
        <v>526968.4</v>
      </c>
    </row>
    <row r="3535" spans="2:6" ht="17" thickBot="1">
      <c r="B3535" s="31" t="s">
        <v>35</v>
      </c>
      <c r="C3535" s="13"/>
      <c r="D3535" s="13"/>
      <c r="E3535" s="33">
        <v>0.1</v>
      </c>
      <c r="F3535" s="32">
        <f>F3534*E3535</f>
        <v>52696.840000000004</v>
      </c>
    </row>
    <row r="3536" spans="2:6" ht="17" thickBot="1">
      <c r="B3536" s="31" t="s">
        <v>36</v>
      </c>
      <c r="C3536" s="13"/>
      <c r="D3536" s="13"/>
      <c r="E3536" s="33">
        <v>0.1</v>
      </c>
      <c r="F3536" s="32">
        <f>F3534*E3536</f>
        <v>52696.840000000004</v>
      </c>
    </row>
    <row r="3537" spans="2:6" ht="17" thickBot="1">
      <c r="B3537" s="34" t="s">
        <v>37</v>
      </c>
      <c r="C3537" s="35"/>
      <c r="D3537" s="35"/>
      <c r="E3537" s="35"/>
      <c r="F3537" s="32">
        <f>SUM(F3534:F3536)</f>
        <v>632362.07999999996</v>
      </c>
    </row>
    <row r="3538" spans="2:6" ht="17" thickBot="1">
      <c r="B3538" s="36"/>
      <c r="C3538" s="8"/>
      <c r="D3538" s="8"/>
      <c r="E3538" s="8"/>
    </row>
    <row r="3539" spans="2:6" ht="18" thickTop="1" thickBot="1">
      <c r="B3539" s="37" t="s">
        <v>38</v>
      </c>
      <c r="C3539" s="8"/>
      <c r="D3539" s="8"/>
      <c r="E3539" s="8"/>
    </row>
    <row r="3540" spans="2:6" ht="18" thickTop="1" thickBot="1">
      <c r="B3540" s="8"/>
      <c r="C3540" s="8"/>
      <c r="D3540" s="8"/>
      <c r="E3540" s="8"/>
    </row>
    <row r="3541" spans="2:6" ht="17" thickTop="1">
      <c r="B3541" s="38"/>
      <c r="C3541" s="13"/>
      <c r="D3541" s="13"/>
      <c r="E3541" s="39"/>
      <c r="F3541" s="40"/>
    </row>
    <row r="3542" spans="2:6" ht="16">
      <c r="B3542" s="38"/>
      <c r="C3542" s="13"/>
      <c r="D3542" s="13"/>
      <c r="E3542" s="41"/>
      <c r="F3542" s="42"/>
    </row>
    <row r="3543" spans="2:6" ht="16">
      <c r="B3543" s="38"/>
      <c r="C3543" s="13"/>
      <c r="D3543" s="13"/>
      <c r="E3543" s="41"/>
      <c r="F3543" s="42"/>
    </row>
    <row r="3544" spans="2:6" ht="17" thickBot="1">
      <c r="B3544" s="54"/>
      <c r="C3544" s="35"/>
      <c r="D3544" s="35"/>
      <c r="E3544" s="44"/>
      <c r="F3544" s="45"/>
    </row>
    <row r="3545" spans="2:6" ht="17" thickTop="1">
      <c r="B3545" s="46"/>
      <c r="C3545" s="46"/>
      <c r="D3545" s="46"/>
      <c r="E3545" s="47"/>
      <c r="F3545" s="47"/>
    </row>
    <row r="3546" spans="2:6" ht="14" thickBot="1">
      <c r="B3546" s="1" t="s">
        <v>0</v>
      </c>
      <c r="C3546" s="1"/>
    </row>
    <row r="3547" spans="2:6" ht="17" thickBot="1">
      <c r="B3547" s="1" t="s">
        <v>1</v>
      </c>
      <c r="C3547" s="1"/>
      <c r="E3547" s="4" t="s">
        <v>2</v>
      </c>
      <c r="F3547" s="5"/>
    </row>
    <row r="3548" spans="2:6">
      <c r="B3548" s="6"/>
    </row>
    <row r="3549" spans="2:6" ht="16">
      <c r="B3549" s="7" t="s">
        <v>3</v>
      </c>
      <c r="C3549" s="7"/>
      <c r="D3549" s="7"/>
      <c r="E3549" s="7"/>
      <c r="F3549" s="7"/>
    </row>
    <row r="3550" spans="2:6" ht="16">
      <c r="B3550" s="8"/>
      <c r="C3550" s="8"/>
      <c r="D3550" s="8"/>
      <c r="E3550" s="8"/>
    </row>
    <row r="3551" spans="2:6" ht="16">
      <c r="B3551" s="9" t="s">
        <v>4</v>
      </c>
      <c r="C3551" s="13" t="str">
        <f>C3494</f>
        <v>MEJORAMIENTO ESPACIO PUBLICO JJVV LUCILA GODOY ALCAYAGA</v>
      </c>
      <c r="D3551" s="13"/>
      <c r="E3551" s="13"/>
      <c r="F3551" s="14"/>
    </row>
    <row r="3552" spans="2:6" ht="16">
      <c r="B3552" s="12"/>
      <c r="C3552" s="8"/>
      <c r="D3552" s="8"/>
      <c r="E3552" s="8"/>
    </row>
    <row r="3553" spans="2:6" ht="16">
      <c r="B3553" s="9" t="s">
        <v>5</v>
      </c>
      <c r="C3553" s="13" t="s">
        <v>6</v>
      </c>
      <c r="D3553" s="13"/>
      <c r="E3553" s="13"/>
      <c r="F3553" s="14"/>
    </row>
    <row r="3554" spans="2:6" ht="16">
      <c r="B3554" s="9"/>
      <c r="C3554" s="13"/>
      <c r="D3554" s="13"/>
      <c r="E3554" s="13"/>
      <c r="F3554" s="14"/>
    </row>
    <row r="3555" spans="2:6" ht="16">
      <c r="B3555" s="9" t="s">
        <v>7</v>
      </c>
      <c r="C3555" s="13" t="str">
        <f>[1]LGA!A84</f>
        <v>4.8</v>
      </c>
      <c r="D3555" s="13"/>
      <c r="E3555" s="13"/>
      <c r="F3555" s="14"/>
    </row>
    <row r="3556" spans="2:6" ht="16">
      <c r="B3556" s="9" t="s">
        <v>8</v>
      </c>
      <c r="C3556" s="13" t="s">
        <v>241</v>
      </c>
      <c r="D3556" s="13"/>
      <c r="E3556" s="13"/>
      <c r="F3556" s="14"/>
    </row>
    <row r="3557" spans="2:6" ht="16">
      <c r="B3557" s="9" t="s">
        <v>10</v>
      </c>
      <c r="C3557" s="13" t="s">
        <v>120</v>
      </c>
      <c r="D3557" s="13"/>
      <c r="E3557" s="13"/>
      <c r="F3557" s="14"/>
    </row>
    <row r="3558" spans="2:6" ht="16">
      <c r="B3558" s="9" t="s">
        <v>12</v>
      </c>
      <c r="C3558" s="15">
        <f>C3501</f>
        <v>46024</v>
      </c>
      <c r="D3558" s="13"/>
      <c r="E3558" s="13"/>
      <c r="F3558" s="14"/>
    </row>
    <row r="3559" spans="2:6" ht="17" thickBot="1">
      <c r="B3559" s="8"/>
      <c r="C3559" s="8"/>
      <c r="D3559" s="8"/>
      <c r="E3559" s="8"/>
    </row>
    <row r="3560" spans="2:6" ht="15" thickTop="1" thickBot="1">
      <c r="B3560" s="16" t="s">
        <v>13</v>
      </c>
      <c r="C3560" s="17" t="s">
        <v>14</v>
      </c>
      <c r="D3560" s="17" t="s">
        <v>15</v>
      </c>
      <c r="E3560" s="17" t="s">
        <v>16</v>
      </c>
      <c r="F3560" s="18" t="s">
        <v>17</v>
      </c>
    </row>
    <row r="3561" spans="2:6" ht="14" thickTop="1">
      <c r="B3561" s="19"/>
      <c r="C3561" s="19"/>
      <c r="D3561" s="19"/>
      <c r="E3561" s="19"/>
      <c r="F3561" s="19"/>
    </row>
    <row r="3562" spans="2:6">
      <c r="B3562" s="20" t="s">
        <v>236</v>
      </c>
      <c r="C3562" s="21" t="s">
        <v>56</v>
      </c>
      <c r="D3562" s="21">
        <v>2</v>
      </c>
      <c r="E3562" s="22">
        <v>45800</v>
      </c>
      <c r="F3562" s="22">
        <f t="shared" ref="F3562:F3568" si="59">E3562*D3562</f>
        <v>91600</v>
      </c>
    </row>
    <row r="3563" spans="2:6">
      <c r="B3563" s="20" t="s">
        <v>237</v>
      </c>
      <c r="C3563" s="21" t="s">
        <v>56</v>
      </c>
      <c r="D3563" s="21">
        <v>2</v>
      </c>
      <c r="E3563" s="22">
        <v>78000</v>
      </c>
      <c r="F3563" s="22">
        <f t="shared" si="59"/>
        <v>156000</v>
      </c>
    </row>
    <row r="3564" spans="2:6">
      <c r="B3564" s="20" t="s">
        <v>238</v>
      </c>
      <c r="C3564" s="21" t="s">
        <v>56</v>
      </c>
      <c r="D3564" s="21">
        <v>2</v>
      </c>
      <c r="E3564" s="22">
        <v>5200</v>
      </c>
      <c r="F3564" s="22">
        <f t="shared" si="59"/>
        <v>10400</v>
      </c>
    </row>
    <row r="3565" spans="2:6">
      <c r="B3565" s="20" t="s">
        <v>239</v>
      </c>
      <c r="C3565" s="21" t="s">
        <v>56</v>
      </c>
      <c r="D3565" s="21">
        <v>2</v>
      </c>
      <c r="E3565" s="22">
        <v>78000</v>
      </c>
      <c r="F3565" s="22">
        <f t="shared" si="59"/>
        <v>156000</v>
      </c>
    </row>
    <row r="3566" spans="2:6">
      <c r="B3566" s="20" t="s">
        <v>229</v>
      </c>
      <c r="C3566" s="21" t="s">
        <v>56</v>
      </c>
      <c r="D3566" s="21">
        <v>1</v>
      </c>
      <c r="E3566" s="22">
        <v>2500</v>
      </c>
      <c r="F3566" s="22">
        <f t="shared" si="59"/>
        <v>2500</v>
      </c>
    </row>
    <row r="3567" spans="2:6">
      <c r="B3567" s="20" t="s">
        <v>230</v>
      </c>
      <c r="C3567" s="21" t="s">
        <v>170</v>
      </c>
      <c r="D3567" s="21">
        <v>1</v>
      </c>
      <c r="E3567" s="22">
        <v>8000</v>
      </c>
      <c r="F3567" s="22">
        <f t="shared" si="59"/>
        <v>8000</v>
      </c>
    </row>
    <row r="3568" spans="2:6">
      <c r="B3568" s="20" t="s">
        <v>240</v>
      </c>
      <c r="C3568" s="21" t="s">
        <v>154</v>
      </c>
      <c r="D3568" s="21">
        <v>1</v>
      </c>
      <c r="E3568" s="22">
        <v>12000</v>
      </c>
      <c r="F3568" s="22">
        <f t="shared" si="59"/>
        <v>12000</v>
      </c>
    </row>
    <row r="3569" spans="2:6" ht="17" thickBot="1">
      <c r="B3569" s="6" t="s">
        <v>19</v>
      </c>
      <c r="C3569" s="8"/>
      <c r="D3569" s="8"/>
      <c r="E3569" s="8"/>
      <c r="F3569" s="23">
        <f>SUM(F3562:F3567)</f>
        <v>424500</v>
      </c>
    </row>
    <row r="3570" spans="2:6" ht="17" thickBot="1">
      <c r="B3570" s="8"/>
      <c r="C3570" s="8"/>
      <c r="D3570" s="8"/>
      <c r="E3570" s="8"/>
    </row>
    <row r="3571" spans="2:6" ht="15" thickTop="1" thickBot="1">
      <c r="B3571" s="16" t="s">
        <v>20</v>
      </c>
      <c r="C3571" s="17" t="s">
        <v>14</v>
      </c>
      <c r="D3571" s="17" t="s">
        <v>15</v>
      </c>
      <c r="E3571" s="17" t="s">
        <v>16</v>
      </c>
      <c r="F3571" s="18" t="s">
        <v>17</v>
      </c>
    </row>
    <row r="3572" spans="2:6" ht="17" thickTop="1">
      <c r="B3572" s="8"/>
      <c r="C3572" s="8"/>
      <c r="D3572" s="8"/>
      <c r="E3572" s="8"/>
    </row>
    <row r="3573" spans="2:6">
      <c r="B3573" s="24" t="s">
        <v>21</v>
      </c>
      <c r="C3573" s="20" t="s">
        <v>22</v>
      </c>
      <c r="D3573" s="20">
        <v>4.3999999999999997E-2</v>
      </c>
      <c r="E3573" s="22">
        <v>27500</v>
      </c>
      <c r="F3573" s="25">
        <f>E3573*D3573</f>
        <v>1210</v>
      </c>
    </row>
    <row r="3574" spans="2:6">
      <c r="B3574" s="20" t="s">
        <v>23</v>
      </c>
      <c r="C3574" s="20" t="s">
        <v>22</v>
      </c>
      <c r="D3574" s="20">
        <v>4.3999999999999997E-2</v>
      </c>
      <c r="E3574" s="22">
        <v>15000</v>
      </c>
      <c r="F3574" s="25">
        <f>E3574*D3574</f>
        <v>660</v>
      </c>
    </row>
    <row r="3575" spans="2:6" ht="16">
      <c r="B3575" s="26"/>
      <c r="C3575" s="26"/>
      <c r="D3575" s="26"/>
      <c r="E3575" s="26"/>
      <c r="F3575" s="25">
        <f>E3575*D3575</f>
        <v>0</v>
      </c>
    </row>
    <row r="3576" spans="2:6" ht="16">
      <c r="B3576" s="26"/>
      <c r="C3576" s="26"/>
      <c r="D3576" s="26"/>
      <c r="E3576" s="26"/>
      <c r="F3576" s="25">
        <f>E3576*D3576</f>
        <v>0</v>
      </c>
    </row>
    <row r="3577" spans="2:6" ht="16">
      <c r="B3577" s="27" t="s">
        <v>25</v>
      </c>
      <c r="C3577" s="27" t="s">
        <v>26</v>
      </c>
      <c r="D3577" s="28">
        <v>0.32</v>
      </c>
      <c r="E3577" s="29">
        <f>SUM(E3573:E3576)*D3577</f>
        <v>13600</v>
      </c>
      <c r="F3577" s="25">
        <f>SUM(F3573:F3575)*D3577</f>
        <v>598.4</v>
      </c>
    </row>
    <row r="3578" spans="2:6" ht="16">
      <c r="B3578" s="8"/>
      <c r="C3578" s="8"/>
      <c r="D3578" s="8"/>
      <c r="E3578" s="8"/>
    </row>
    <row r="3579" spans="2:6" ht="17" thickBot="1">
      <c r="B3579" s="6" t="s">
        <v>27</v>
      </c>
      <c r="C3579" s="8"/>
      <c r="D3579" s="8"/>
      <c r="E3579" s="8"/>
      <c r="F3579" s="23">
        <f>SUM(F3573:F3578)</f>
        <v>2468.4</v>
      </c>
    </row>
    <row r="3580" spans="2:6" ht="17" thickBot="1">
      <c r="B3580" s="8"/>
      <c r="C3580" s="8"/>
      <c r="D3580" s="8"/>
      <c r="E3580" s="8"/>
    </row>
    <row r="3581" spans="2:6" ht="15" thickTop="1" thickBot="1">
      <c r="B3581" s="16" t="s">
        <v>28</v>
      </c>
      <c r="C3581" s="17" t="s">
        <v>14</v>
      </c>
      <c r="D3581" s="17" t="s">
        <v>15</v>
      </c>
      <c r="E3581" s="17" t="s">
        <v>16</v>
      </c>
      <c r="F3581" s="18" t="s">
        <v>17</v>
      </c>
    </row>
    <row r="3582" spans="2:6" ht="17" thickTop="1">
      <c r="B3582" s="8"/>
      <c r="C3582" s="8"/>
      <c r="D3582" s="8"/>
      <c r="E3582" s="8"/>
    </row>
    <row r="3583" spans="2:6">
      <c r="B3583" s="20"/>
      <c r="C3583" s="20"/>
      <c r="D3583" s="20"/>
      <c r="E3583" s="22"/>
      <c r="F3583" s="25">
        <f>E3583*D3583</f>
        <v>0</v>
      </c>
    </row>
    <row r="3584" spans="2:6">
      <c r="B3584" s="20" t="s">
        <v>31</v>
      </c>
      <c r="C3584" s="20" t="s">
        <v>32</v>
      </c>
      <c r="D3584" s="71">
        <v>1</v>
      </c>
      <c r="E3584" s="22">
        <v>25000</v>
      </c>
      <c r="F3584" s="25">
        <f>E3584*D3584</f>
        <v>25000</v>
      </c>
    </row>
    <row r="3585" spans="2:6" ht="16">
      <c r="B3585" s="26" t="s">
        <v>232</v>
      </c>
      <c r="C3585" s="26" t="s">
        <v>30</v>
      </c>
      <c r="D3585" s="71">
        <v>1</v>
      </c>
      <c r="E3585" s="22">
        <v>50000</v>
      </c>
      <c r="F3585" s="25">
        <f>E3585*D3585</f>
        <v>50000</v>
      </c>
    </row>
    <row r="3586" spans="2:6" ht="16">
      <c r="B3586" s="26" t="s">
        <v>233</v>
      </c>
      <c r="C3586" s="26" t="s">
        <v>30</v>
      </c>
      <c r="D3586" s="71">
        <v>1</v>
      </c>
      <c r="E3586" s="22">
        <v>25000</v>
      </c>
      <c r="F3586" s="25">
        <f>E3586*D3586</f>
        <v>25000</v>
      </c>
    </row>
    <row r="3587" spans="2:6" ht="16">
      <c r="B3587" s="8"/>
      <c r="C3587" s="8"/>
      <c r="D3587" s="8"/>
      <c r="E3587" s="8"/>
    </row>
    <row r="3588" spans="2:6" ht="14" thickBot="1">
      <c r="B3588" s="19" t="s">
        <v>33</v>
      </c>
      <c r="C3588" s="19"/>
      <c r="D3588" s="19"/>
      <c r="E3588" s="19"/>
      <c r="F3588" s="23">
        <f>SUM(F3582:F3587)</f>
        <v>100000</v>
      </c>
    </row>
    <row r="3589" spans="2:6">
      <c r="B3589" s="19"/>
      <c r="C3589" s="19"/>
      <c r="D3589" s="19"/>
      <c r="E3589" s="19"/>
      <c r="F3589" s="74"/>
    </row>
    <row r="3590" spans="2:6" ht="14" thickBot="1">
      <c r="B3590" s="19"/>
      <c r="C3590" s="19"/>
      <c r="D3590" s="19"/>
      <c r="E3590" s="19"/>
      <c r="F3590" s="19"/>
    </row>
    <row r="3591" spans="2:6" ht="17" thickBot="1">
      <c r="B3591" s="31" t="s">
        <v>34</v>
      </c>
      <c r="C3591" s="13"/>
      <c r="D3591" s="13"/>
      <c r="E3591" s="13"/>
      <c r="F3591" s="32">
        <f>F3569+F3579+F3588</f>
        <v>526968.4</v>
      </c>
    </row>
    <row r="3592" spans="2:6" ht="17" thickBot="1">
      <c r="B3592" s="31" t="s">
        <v>35</v>
      </c>
      <c r="C3592" s="13"/>
      <c r="D3592" s="13"/>
      <c r="E3592" s="33">
        <v>0.1</v>
      </c>
      <c r="F3592" s="32">
        <f>F3591*E3592</f>
        <v>52696.840000000004</v>
      </c>
    </row>
    <row r="3593" spans="2:6" ht="17" thickBot="1">
      <c r="B3593" s="31" t="s">
        <v>36</v>
      </c>
      <c r="C3593" s="13"/>
      <c r="D3593" s="13"/>
      <c r="E3593" s="33">
        <v>0.1</v>
      </c>
      <c r="F3593" s="32">
        <f>F3591*E3593</f>
        <v>52696.840000000004</v>
      </c>
    </row>
    <row r="3594" spans="2:6" ht="17" thickBot="1">
      <c r="B3594" s="34" t="s">
        <v>37</v>
      </c>
      <c r="C3594" s="35"/>
      <c r="D3594" s="35"/>
      <c r="E3594" s="35"/>
      <c r="F3594" s="32">
        <f>SUM(F3591:F3593)</f>
        <v>632362.07999999996</v>
      </c>
    </row>
    <row r="3595" spans="2:6" ht="17" thickBot="1">
      <c r="B3595" s="36"/>
      <c r="C3595" s="8"/>
      <c r="D3595" s="8"/>
      <c r="E3595" s="8"/>
    </row>
    <row r="3596" spans="2:6" ht="18" thickTop="1" thickBot="1">
      <c r="B3596" s="37" t="s">
        <v>38</v>
      </c>
      <c r="C3596" s="8"/>
      <c r="D3596" s="8"/>
      <c r="E3596" s="8"/>
    </row>
    <row r="3597" spans="2:6" ht="18" thickTop="1" thickBot="1">
      <c r="B3597" s="8"/>
      <c r="C3597" s="8"/>
      <c r="D3597" s="8"/>
      <c r="E3597" s="8"/>
    </row>
    <row r="3598" spans="2:6" ht="17" thickTop="1">
      <c r="B3598" s="38"/>
      <c r="C3598" s="13"/>
      <c r="D3598" s="13"/>
      <c r="E3598" s="39"/>
      <c r="F3598" s="40"/>
    </row>
    <row r="3599" spans="2:6" ht="16">
      <c r="B3599" s="38"/>
      <c r="C3599" s="13"/>
      <c r="D3599" s="13"/>
      <c r="E3599" s="41"/>
      <c r="F3599" s="42"/>
    </row>
    <row r="3600" spans="2:6" ht="16">
      <c r="B3600" s="38"/>
      <c r="C3600" s="13"/>
      <c r="D3600" s="13"/>
      <c r="E3600" s="41"/>
      <c r="F3600" s="42"/>
    </row>
    <row r="3601" spans="2:6" ht="17" thickBot="1">
      <c r="B3601" s="54"/>
      <c r="C3601" s="35"/>
      <c r="D3601" s="35"/>
      <c r="E3601" s="44"/>
      <c r="F3601" s="45"/>
    </row>
    <row r="3602" spans="2:6" ht="17" thickTop="1">
      <c r="B3602" s="46"/>
      <c r="C3602" s="46"/>
      <c r="D3602" s="46"/>
      <c r="E3602" s="47"/>
      <c r="F3602" s="47"/>
    </row>
    <row r="3603" spans="2:6" ht="14" thickBot="1">
      <c r="B3603" s="1" t="s">
        <v>0</v>
      </c>
      <c r="C3603" s="1"/>
    </row>
    <row r="3604" spans="2:6" ht="17" thickBot="1">
      <c r="B3604" s="1" t="s">
        <v>1</v>
      </c>
      <c r="C3604" s="1"/>
      <c r="E3604" s="4" t="s">
        <v>2</v>
      </c>
      <c r="F3604" s="5"/>
    </row>
    <row r="3605" spans="2:6">
      <c r="B3605" s="6"/>
    </row>
    <row r="3606" spans="2:6" ht="16">
      <c r="B3606" s="7" t="s">
        <v>3</v>
      </c>
      <c r="C3606" s="7"/>
      <c r="D3606" s="7"/>
      <c r="E3606" s="7"/>
      <c r="F3606" s="7"/>
    </row>
    <row r="3607" spans="2:6" ht="16">
      <c r="B3607" s="8"/>
      <c r="C3607" s="8"/>
      <c r="D3607" s="8"/>
      <c r="E3607" s="8"/>
    </row>
    <row r="3608" spans="2:6" ht="20" customHeight="1">
      <c r="B3608" s="9" t="s">
        <v>4</v>
      </c>
      <c r="C3608" s="10" t="str">
        <f>C3551</f>
        <v>MEJORAMIENTO ESPACIO PUBLICO JJVV LUCILA GODOY ALCAYAGA</v>
      </c>
      <c r="D3608" s="10"/>
      <c r="E3608" s="10"/>
      <c r="F3608" s="11"/>
    </row>
    <row r="3609" spans="2:6" ht="16">
      <c r="B3609" s="12"/>
      <c r="C3609" s="8"/>
      <c r="D3609" s="8"/>
      <c r="E3609" s="8"/>
    </row>
    <row r="3610" spans="2:6" ht="16">
      <c r="B3610" s="9" t="s">
        <v>5</v>
      </c>
      <c r="C3610" s="13" t="s">
        <v>6</v>
      </c>
      <c r="D3610" s="13"/>
      <c r="E3610" s="13"/>
      <c r="F3610" s="14"/>
    </row>
    <row r="3611" spans="2:6" ht="16">
      <c r="B3611" s="9"/>
      <c r="C3611" s="13"/>
      <c r="D3611" s="13"/>
      <c r="E3611" s="13"/>
      <c r="F3611" s="14"/>
    </row>
    <row r="3612" spans="2:6" ht="16">
      <c r="B3612" s="9" t="s">
        <v>7</v>
      </c>
      <c r="C3612" s="75" t="s">
        <v>242</v>
      </c>
      <c r="D3612" s="13"/>
      <c r="E3612" s="13"/>
      <c r="F3612" s="14"/>
    </row>
    <row r="3613" spans="2:6" ht="16">
      <c r="B3613" s="9" t="s">
        <v>8</v>
      </c>
      <c r="C3613" s="13" t="s">
        <v>243</v>
      </c>
      <c r="D3613" s="13"/>
      <c r="E3613" s="13"/>
      <c r="F3613" s="14"/>
    </row>
    <row r="3614" spans="2:6" ht="16">
      <c r="B3614" s="9" t="s">
        <v>10</v>
      </c>
      <c r="C3614" s="13" t="s">
        <v>95</v>
      </c>
      <c r="D3614" s="13"/>
      <c r="E3614" s="13"/>
      <c r="F3614" s="14"/>
    </row>
    <row r="3615" spans="2:6" ht="16">
      <c r="B3615" s="9" t="s">
        <v>12</v>
      </c>
      <c r="C3615" s="15">
        <f>C3558</f>
        <v>46024</v>
      </c>
      <c r="D3615" s="13"/>
      <c r="E3615" s="13"/>
      <c r="F3615" s="14"/>
    </row>
    <row r="3616" spans="2:6" ht="17" thickBot="1">
      <c r="B3616" s="8"/>
      <c r="C3616" s="8"/>
      <c r="D3616" s="8"/>
      <c r="E3616" s="8"/>
    </row>
    <row r="3617" spans="2:6" ht="15" thickTop="1" thickBot="1">
      <c r="B3617" s="16" t="s">
        <v>13</v>
      </c>
      <c r="C3617" s="17" t="s">
        <v>14</v>
      </c>
      <c r="D3617" s="17" t="s">
        <v>15</v>
      </c>
      <c r="E3617" s="17" t="s">
        <v>16</v>
      </c>
      <c r="F3617" s="18" t="s">
        <v>17</v>
      </c>
    </row>
    <row r="3618" spans="2:6" ht="14" thickTop="1">
      <c r="B3618" s="19"/>
      <c r="C3618" s="19"/>
      <c r="D3618" s="19"/>
      <c r="E3618" s="19"/>
      <c r="F3618" s="19"/>
    </row>
    <row r="3619" spans="2:6">
      <c r="B3619" s="20"/>
      <c r="C3619" s="21"/>
      <c r="D3619" s="21"/>
      <c r="E3619" s="22"/>
      <c r="F3619" s="22">
        <f t="shared" ref="F3619:F3624" si="60">E3619*D3619</f>
        <v>0</v>
      </c>
    </row>
    <row r="3620" spans="2:6">
      <c r="B3620" s="20"/>
      <c r="C3620" s="21"/>
      <c r="D3620" s="21"/>
      <c r="E3620" s="22"/>
      <c r="F3620" s="22">
        <f t="shared" si="60"/>
        <v>0</v>
      </c>
    </row>
    <row r="3621" spans="2:6">
      <c r="B3621" s="20"/>
      <c r="C3621" s="21"/>
      <c r="D3621" s="21"/>
      <c r="E3621" s="22"/>
      <c r="F3621" s="22">
        <f t="shared" si="60"/>
        <v>0</v>
      </c>
    </row>
    <row r="3622" spans="2:6">
      <c r="B3622" s="20"/>
      <c r="C3622" s="21"/>
      <c r="D3622" s="21"/>
      <c r="E3622" s="22"/>
      <c r="F3622" s="22">
        <f t="shared" si="60"/>
        <v>0</v>
      </c>
    </row>
    <row r="3623" spans="2:6">
      <c r="B3623" s="20"/>
      <c r="C3623" s="21"/>
      <c r="D3623" s="21"/>
      <c r="E3623" s="22"/>
      <c r="F3623" s="22">
        <f t="shared" si="60"/>
        <v>0</v>
      </c>
    </row>
    <row r="3624" spans="2:6">
      <c r="B3624" s="20"/>
      <c r="C3624" s="21"/>
      <c r="D3624" s="21"/>
      <c r="E3624" s="22"/>
      <c r="F3624" s="22">
        <f t="shared" si="60"/>
        <v>0</v>
      </c>
    </row>
    <row r="3625" spans="2:6" ht="17" thickBot="1">
      <c r="B3625" s="6" t="s">
        <v>19</v>
      </c>
      <c r="C3625" s="8"/>
      <c r="D3625" s="8"/>
      <c r="E3625" s="8"/>
      <c r="F3625" s="23">
        <f>SUM(F3619:F3624)</f>
        <v>0</v>
      </c>
    </row>
    <row r="3626" spans="2:6" ht="17" thickBot="1">
      <c r="B3626" s="8"/>
      <c r="C3626" s="8"/>
      <c r="D3626" s="8"/>
      <c r="E3626" s="8"/>
    </row>
    <row r="3627" spans="2:6" ht="15" thickTop="1" thickBot="1">
      <c r="B3627" s="16" t="s">
        <v>20</v>
      </c>
      <c r="C3627" s="17" t="s">
        <v>14</v>
      </c>
      <c r="D3627" s="17" t="s">
        <v>15</v>
      </c>
      <c r="E3627" s="17" t="s">
        <v>16</v>
      </c>
      <c r="F3627" s="18" t="s">
        <v>17</v>
      </c>
    </row>
    <row r="3628" spans="2:6" ht="17" thickTop="1">
      <c r="B3628" s="8"/>
      <c r="C3628" s="8"/>
      <c r="D3628" s="8"/>
      <c r="E3628" s="8"/>
    </row>
    <row r="3629" spans="2:6">
      <c r="B3629" s="24" t="s">
        <v>21</v>
      </c>
      <c r="C3629" s="20" t="s">
        <v>22</v>
      </c>
      <c r="D3629" s="20">
        <v>4.3999999999999997E-2</v>
      </c>
      <c r="E3629" s="22">
        <v>27500</v>
      </c>
      <c r="F3629" s="25">
        <f>E3629*D3629</f>
        <v>1210</v>
      </c>
    </row>
    <row r="3630" spans="2:6">
      <c r="B3630" s="20" t="s">
        <v>23</v>
      </c>
      <c r="C3630" s="20" t="s">
        <v>22</v>
      </c>
      <c r="D3630" s="20">
        <v>4.3999999999999997E-2</v>
      </c>
      <c r="E3630" s="22">
        <v>15000</v>
      </c>
      <c r="F3630" s="25">
        <f>E3630*D3630</f>
        <v>660</v>
      </c>
    </row>
    <row r="3631" spans="2:6" ht="16">
      <c r="B3631" s="26"/>
      <c r="C3631" s="26"/>
      <c r="D3631" s="26"/>
      <c r="E3631" s="26"/>
      <c r="F3631" s="25">
        <f>E3631*D3631</f>
        <v>0</v>
      </c>
    </row>
    <row r="3632" spans="2:6" ht="16">
      <c r="B3632" s="26"/>
      <c r="C3632" s="26"/>
      <c r="D3632" s="26"/>
      <c r="E3632" s="26"/>
      <c r="F3632" s="25">
        <f>E3632*D3632</f>
        <v>0</v>
      </c>
    </row>
    <row r="3633" spans="2:6" ht="16">
      <c r="B3633" s="27" t="s">
        <v>25</v>
      </c>
      <c r="C3633" s="27" t="s">
        <v>26</v>
      </c>
      <c r="D3633" s="28">
        <v>0.32</v>
      </c>
      <c r="E3633" s="29">
        <f>SUM(E3629:E3632)*D3633</f>
        <v>13600</v>
      </c>
      <c r="F3633" s="25">
        <f>E3633*D3633</f>
        <v>4352</v>
      </c>
    </row>
    <row r="3634" spans="2:6" ht="16">
      <c r="B3634" s="8"/>
      <c r="C3634" s="8"/>
      <c r="D3634" s="8"/>
      <c r="E3634" s="8"/>
    </row>
    <row r="3635" spans="2:6" ht="17" thickBot="1">
      <c r="B3635" s="6" t="s">
        <v>27</v>
      </c>
      <c r="C3635" s="8"/>
      <c r="D3635" s="8"/>
      <c r="E3635" s="8"/>
      <c r="F3635" s="23">
        <f>SUM(F3629:F3634)</f>
        <v>6222</v>
      </c>
    </row>
    <row r="3636" spans="2:6" ht="17" thickBot="1">
      <c r="B3636" s="8"/>
      <c r="C3636" s="8"/>
      <c r="D3636" s="8"/>
      <c r="E3636" s="8"/>
    </row>
    <row r="3637" spans="2:6" ht="15" thickTop="1" thickBot="1">
      <c r="B3637" s="16" t="s">
        <v>28</v>
      </c>
      <c r="C3637" s="17" t="s">
        <v>14</v>
      </c>
      <c r="D3637" s="17" t="s">
        <v>15</v>
      </c>
      <c r="E3637" s="17" t="s">
        <v>16</v>
      </c>
      <c r="F3637" s="18" t="s">
        <v>17</v>
      </c>
    </row>
    <row r="3638" spans="2:6" ht="17" thickTop="1">
      <c r="B3638" s="8"/>
      <c r="C3638" s="8"/>
      <c r="D3638" s="8"/>
      <c r="E3638" s="8"/>
    </row>
    <row r="3639" spans="2:6">
      <c r="B3639" s="20" t="s">
        <v>244</v>
      </c>
      <c r="C3639" s="20" t="s">
        <v>30</v>
      </c>
      <c r="D3639" s="20">
        <v>0.02</v>
      </c>
      <c r="E3639" s="22">
        <v>45000</v>
      </c>
      <c r="F3639" s="25">
        <f>E3639*D3639</f>
        <v>900</v>
      </c>
    </row>
    <row r="3640" spans="2:6">
      <c r="B3640" s="20" t="s">
        <v>245</v>
      </c>
      <c r="C3640" s="20" t="s">
        <v>30</v>
      </c>
      <c r="D3640" s="20">
        <v>2.7349999999999999E-2</v>
      </c>
      <c r="E3640" s="22">
        <v>65000</v>
      </c>
      <c r="F3640" s="25">
        <f>E3640*D3640</f>
        <v>1777.75</v>
      </c>
    </row>
    <row r="3641" spans="2:6" ht="16">
      <c r="B3641" s="26"/>
      <c r="C3641" s="26"/>
      <c r="D3641" s="26"/>
      <c r="E3641" s="26"/>
      <c r="F3641" s="25">
        <f>E3641*D3641</f>
        <v>0</v>
      </c>
    </row>
    <row r="3642" spans="2:6" ht="16">
      <c r="B3642" s="26"/>
      <c r="C3642" s="26"/>
      <c r="D3642" s="26"/>
      <c r="E3642" s="26"/>
      <c r="F3642" s="25">
        <f>E3642*D3642</f>
        <v>0</v>
      </c>
    </row>
    <row r="3643" spans="2:6" ht="16">
      <c r="B3643" s="30"/>
      <c r="C3643" s="26"/>
      <c r="D3643" s="26"/>
      <c r="E3643" s="26"/>
      <c r="F3643" s="25">
        <f>E3643*D3643</f>
        <v>0</v>
      </c>
    </row>
    <row r="3644" spans="2:6" ht="16">
      <c r="B3644" s="8"/>
      <c r="C3644" s="8"/>
      <c r="D3644" s="8"/>
      <c r="E3644" s="8"/>
    </row>
    <row r="3645" spans="2:6" ht="14" thickBot="1">
      <c r="B3645" s="19" t="s">
        <v>33</v>
      </c>
      <c r="C3645" s="19"/>
      <c r="D3645" s="19"/>
      <c r="E3645" s="19"/>
      <c r="F3645" s="23">
        <f>SUM(F3639:F3644)</f>
        <v>2677.75</v>
      </c>
    </row>
    <row r="3646" spans="2:6" ht="16">
      <c r="B3646" s="8"/>
      <c r="C3646" s="8"/>
      <c r="D3646" s="8"/>
      <c r="E3646" s="8"/>
    </row>
    <row r="3647" spans="2:6" ht="17" thickBot="1">
      <c r="B3647" s="8"/>
      <c r="C3647" s="8"/>
      <c r="D3647" s="8"/>
      <c r="E3647" s="8"/>
    </row>
    <row r="3648" spans="2:6" ht="17" thickBot="1">
      <c r="B3648" s="31" t="s">
        <v>34</v>
      </c>
      <c r="C3648" s="13"/>
      <c r="D3648" s="13"/>
      <c r="E3648" s="13"/>
      <c r="F3648" s="32">
        <f>F3625+F3635+F3645</f>
        <v>8899.75</v>
      </c>
    </row>
    <row r="3649" spans="2:6" ht="17" thickBot="1">
      <c r="B3649" s="31" t="s">
        <v>35</v>
      </c>
      <c r="C3649" s="13"/>
      <c r="D3649" s="13"/>
      <c r="E3649" s="33">
        <f>E3592</f>
        <v>0.1</v>
      </c>
      <c r="F3649" s="32">
        <f>F3648*E3649</f>
        <v>889.97500000000002</v>
      </c>
    </row>
    <row r="3650" spans="2:6" ht="17" thickBot="1">
      <c r="B3650" s="31" t="s">
        <v>36</v>
      </c>
      <c r="C3650" s="13"/>
      <c r="D3650" s="13"/>
      <c r="E3650" s="33">
        <f>E3593</f>
        <v>0.1</v>
      </c>
      <c r="F3650" s="32">
        <f>F3648*E3650</f>
        <v>889.97500000000002</v>
      </c>
    </row>
    <row r="3651" spans="2:6" ht="17" thickBot="1">
      <c r="B3651" s="34" t="s">
        <v>37</v>
      </c>
      <c r="C3651" s="35"/>
      <c r="D3651" s="35"/>
      <c r="E3651" s="35"/>
      <c r="F3651" s="32">
        <f>SUM(F3648:F3650)</f>
        <v>10679.7</v>
      </c>
    </row>
    <row r="3652" spans="2:6" ht="17" thickBot="1">
      <c r="B3652" s="36"/>
      <c r="C3652" s="8"/>
      <c r="D3652" s="8"/>
      <c r="E3652" s="8"/>
    </row>
    <row r="3653" spans="2:6" ht="18" thickTop="1" thickBot="1">
      <c r="B3653" s="37" t="s">
        <v>38</v>
      </c>
      <c r="C3653" s="8"/>
      <c r="D3653" s="8"/>
      <c r="E3653" s="8"/>
    </row>
    <row r="3654" spans="2:6" ht="18" thickTop="1" thickBot="1">
      <c r="B3654" s="8"/>
      <c r="C3654" s="8"/>
      <c r="D3654" s="8"/>
      <c r="E3654" s="8"/>
    </row>
    <row r="3655" spans="2:6" ht="17" thickTop="1">
      <c r="B3655" s="38"/>
      <c r="C3655" s="13"/>
      <c r="D3655" s="13"/>
      <c r="E3655" s="39"/>
      <c r="F3655" s="40"/>
    </row>
    <row r="3656" spans="2:6" ht="16">
      <c r="B3656" s="38"/>
      <c r="C3656" s="13"/>
      <c r="D3656" s="13"/>
      <c r="E3656" s="41"/>
      <c r="F3656" s="42"/>
    </row>
    <row r="3657" spans="2:6" ht="16">
      <c r="B3657" s="38"/>
      <c r="C3657" s="13"/>
      <c r="D3657" s="13"/>
      <c r="E3657" s="41"/>
      <c r="F3657" s="42"/>
    </row>
    <row r="3658" spans="2:6" ht="17" thickBot="1">
      <c r="B3658" s="54"/>
      <c r="C3658" s="35"/>
      <c r="D3658" s="35"/>
      <c r="E3658" s="44"/>
      <c r="F3658" s="45"/>
    </row>
    <row r="3659" spans="2:6" ht="17" thickTop="1">
      <c r="B3659" s="46"/>
      <c r="C3659" s="46"/>
      <c r="D3659" s="46"/>
      <c r="E3659" s="47"/>
      <c r="F3659" s="47"/>
    </row>
    <row r="3660" spans="2:6" ht="14" thickBot="1">
      <c r="B3660" s="1" t="s">
        <v>0</v>
      </c>
      <c r="C3660" s="1"/>
    </row>
    <row r="3661" spans="2:6" ht="17" thickBot="1">
      <c r="B3661" s="1" t="s">
        <v>1</v>
      </c>
      <c r="C3661" s="1"/>
      <c r="E3661" s="4" t="s">
        <v>2</v>
      </c>
      <c r="F3661" s="5"/>
    </row>
    <row r="3662" spans="2:6">
      <c r="B3662" s="6"/>
    </row>
    <row r="3663" spans="2:6" ht="16">
      <c r="B3663" s="7" t="s">
        <v>3</v>
      </c>
      <c r="C3663" s="7"/>
      <c r="D3663" s="7"/>
      <c r="E3663" s="7"/>
      <c r="F3663" s="7"/>
    </row>
    <row r="3664" spans="2:6" ht="16">
      <c r="B3664" s="8"/>
      <c r="C3664" s="8"/>
      <c r="D3664" s="8"/>
      <c r="E3664" s="8"/>
    </row>
    <row r="3665" spans="2:6" ht="20" customHeight="1">
      <c r="B3665" s="9" t="s">
        <v>4</v>
      </c>
      <c r="C3665" s="10" t="str">
        <f>C3608</f>
        <v>MEJORAMIENTO ESPACIO PUBLICO JJVV LUCILA GODOY ALCAYAGA</v>
      </c>
      <c r="D3665" s="10"/>
      <c r="E3665" s="10"/>
      <c r="F3665" s="11"/>
    </row>
    <row r="3666" spans="2:6" ht="16">
      <c r="B3666" s="12"/>
      <c r="C3666" s="8"/>
      <c r="D3666" s="8"/>
      <c r="E3666" s="8"/>
    </row>
    <row r="3667" spans="2:6" ht="16">
      <c r="B3667" s="9" t="s">
        <v>5</v>
      </c>
      <c r="C3667" s="13" t="s">
        <v>6</v>
      </c>
      <c r="D3667" s="13"/>
      <c r="E3667" s="13"/>
      <c r="F3667" s="14"/>
    </row>
    <row r="3668" spans="2:6" ht="16">
      <c r="B3668" s="9"/>
      <c r="C3668" s="13"/>
      <c r="D3668" s="13"/>
      <c r="E3668" s="13"/>
      <c r="F3668" s="14"/>
    </row>
    <row r="3669" spans="2:6" ht="16">
      <c r="B3669" s="9" t="s">
        <v>7</v>
      </c>
      <c r="C3669" s="75" t="s">
        <v>246</v>
      </c>
      <c r="D3669" s="13"/>
      <c r="E3669" s="13"/>
      <c r="F3669" s="14"/>
    </row>
    <row r="3670" spans="2:6" ht="16">
      <c r="B3670" s="9" t="s">
        <v>8</v>
      </c>
      <c r="C3670" s="13" t="s">
        <v>247</v>
      </c>
      <c r="D3670" s="13"/>
      <c r="E3670" s="13"/>
      <c r="F3670" s="14"/>
    </row>
    <row r="3671" spans="2:6" ht="16">
      <c r="B3671" s="9" t="s">
        <v>10</v>
      </c>
      <c r="C3671" s="13" t="s">
        <v>95</v>
      </c>
      <c r="D3671" s="13"/>
      <c r="E3671" s="13"/>
      <c r="F3671" s="14"/>
    </row>
    <row r="3672" spans="2:6" ht="16">
      <c r="B3672" s="9" t="s">
        <v>12</v>
      </c>
      <c r="C3672" s="15">
        <f>C3615</f>
        <v>46024</v>
      </c>
      <c r="D3672" s="13"/>
      <c r="E3672" s="13"/>
      <c r="F3672" s="14"/>
    </row>
    <row r="3673" spans="2:6" ht="17" thickBot="1">
      <c r="B3673" s="8"/>
      <c r="C3673" s="8"/>
      <c r="D3673" s="8"/>
      <c r="E3673" s="8"/>
    </row>
    <row r="3674" spans="2:6" ht="15" thickTop="1" thickBot="1">
      <c r="B3674" s="16" t="s">
        <v>13</v>
      </c>
      <c r="C3674" s="17" t="s">
        <v>14</v>
      </c>
      <c r="D3674" s="17" t="s">
        <v>15</v>
      </c>
      <c r="E3674" s="17" t="s">
        <v>16</v>
      </c>
      <c r="F3674" s="18" t="s">
        <v>17</v>
      </c>
    </row>
    <row r="3675" spans="2:6" ht="14" thickTop="1">
      <c r="B3675" s="19"/>
      <c r="C3675" s="19"/>
      <c r="D3675" s="19"/>
      <c r="E3675" s="19"/>
      <c r="F3675" s="19"/>
    </row>
    <row r="3676" spans="2:6">
      <c r="B3676" s="20" t="s">
        <v>215</v>
      </c>
      <c r="C3676" s="21" t="s">
        <v>56</v>
      </c>
      <c r="D3676" s="21">
        <v>0.02</v>
      </c>
      <c r="E3676" s="22">
        <v>160000</v>
      </c>
      <c r="F3676" s="22">
        <f t="shared" ref="F3676:F3681" si="61">E3676*D3676</f>
        <v>3200</v>
      </c>
    </row>
    <row r="3677" spans="2:6">
      <c r="B3677" s="20"/>
      <c r="C3677" s="21"/>
      <c r="D3677" s="21"/>
      <c r="E3677" s="22"/>
      <c r="F3677" s="22">
        <f t="shared" si="61"/>
        <v>0</v>
      </c>
    </row>
    <row r="3678" spans="2:6">
      <c r="B3678" s="20"/>
      <c r="C3678" s="21"/>
      <c r="D3678" s="21"/>
      <c r="E3678" s="22"/>
      <c r="F3678" s="22">
        <f t="shared" si="61"/>
        <v>0</v>
      </c>
    </row>
    <row r="3679" spans="2:6">
      <c r="B3679" s="20"/>
      <c r="C3679" s="21"/>
      <c r="D3679" s="21"/>
      <c r="E3679" s="22"/>
      <c r="F3679" s="22">
        <f t="shared" si="61"/>
        <v>0</v>
      </c>
    </row>
    <row r="3680" spans="2:6">
      <c r="B3680" s="20"/>
      <c r="C3680" s="21"/>
      <c r="D3680" s="21"/>
      <c r="E3680" s="22"/>
      <c r="F3680" s="22">
        <f t="shared" si="61"/>
        <v>0</v>
      </c>
    </row>
    <row r="3681" spans="2:6">
      <c r="B3681" s="20"/>
      <c r="C3681" s="21"/>
      <c r="D3681" s="21"/>
      <c r="E3681" s="22"/>
      <c r="F3681" s="22">
        <f t="shared" si="61"/>
        <v>0</v>
      </c>
    </row>
    <row r="3682" spans="2:6" ht="17" thickBot="1">
      <c r="B3682" s="6" t="s">
        <v>19</v>
      </c>
      <c r="C3682" s="8"/>
      <c r="D3682" s="8"/>
      <c r="E3682" s="8"/>
      <c r="F3682" s="23">
        <f>SUM(F3676:F3681)</f>
        <v>3200</v>
      </c>
    </row>
    <row r="3683" spans="2:6" ht="17" thickBot="1">
      <c r="B3683" s="8"/>
      <c r="C3683" s="8"/>
      <c r="D3683" s="8"/>
      <c r="E3683" s="8"/>
    </row>
    <row r="3684" spans="2:6" ht="15" thickTop="1" thickBot="1">
      <c r="B3684" s="16" t="s">
        <v>20</v>
      </c>
      <c r="C3684" s="17" t="s">
        <v>14</v>
      </c>
      <c r="D3684" s="17" t="s">
        <v>15</v>
      </c>
      <c r="E3684" s="17" t="s">
        <v>16</v>
      </c>
      <c r="F3684" s="18" t="s">
        <v>17</v>
      </c>
    </row>
    <row r="3685" spans="2:6" ht="17" thickTop="1">
      <c r="B3685" s="8"/>
      <c r="C3685" s="8"/>
      <c r="D3685" s="8"/>
      <c r="E3685" s="8"/>
    </row>
    <row r="3686" spans="2:6">
      <c r="B3686" s="24" t="s">
        <v>211</v>
      </c>
      <c r="C3686" s="20" t="s">
        <v>22</v>
      </c>
      <c r="D3686" s="20">
        <v>4.4000000000000003E-3</v>
      </c>
      <c r="E3686" s="22">
        <v>27500</v>
      </c>
      <c r="F3686" s="25">
        <f>E3686*D3686</f>
        <v>121.00000000000001</v>
      </c>
    </row>
    <row r="3687" spans="2:6">
      <c r="B3687" s="20" t="s">
        <v>23</v>
      </c>
      <c r="C3687" s="20" t="s">
        <v>22</v>
      </c>
      <c r="D3687" s="20">
        <v>4.4000000000000003E-3</v>
      </c>
      <c r="E3687" s="22">
        <v>15000</v>
      </c>
      <c r="F3687" s="25">
        <f>E3687*D3687</f>
        <v>66</v>
      </c>
    </row>
    <row r="3688" spans="2:6" ht="16">
      <c r="B3688" s="26"/>
      <c r="C3688" s="26"/>
      <c r="D3688" s="26"/>
      <c r="E3688" s="26"/>
      <c r="F3688" s="25">
        <f>E3688*D3688</f>
        <v>0</v>
      </c>
    </row>
    <row r="3689" spans="2:6" ht="16">
      <c r="B3689" s="26"/>
      <c r="C3689" s="26"/>
      <c r="D3689" s="26"/>
      <c r="E3689" s="26"/>
      <c r="F3689" s="25">
        <f>E3689*D3689</f>
        <v>0</v>
      </c>
    </row>
    <row r="3690" spans="2:6" ht="16">
      <c r="B3690" s="27" t="s">
        <v>25</v>
      </c>
      <c r="C3690" s="27" t="s">
        <v>26</v>
      </c>
      <c r="D3690" s="28">
        <v>0.32</v>
      </c>
      <c r="E3690" s="29">
        <f>SUM(E3686:E3689)*D3690</f>
        <v>13600</v>
      </c>
      <c r="F3690" s="25">
        <f>E3690*D3690</f>
        <v>4352</v>
      </c>
    </row>
    <row r="3691" spans="2:6" ht="16">
      <c r="B3691" s="8"/>
      <c r="C3691" s="8"/>
      <c r="D3691" s="8"/>
      <c r="E3691" s="8"/>
    </row>
    <row r="3692" spans="2:6" ht="17" thickBot="1">
      <c r="B3692" s="6" t="s">
        <v>27</v>
      </c>
      <c r="C3692" s="8"/>
      <c r="D3692" s="8"/>
      <c r="E3692" s="8"/>
      <c r="F3692" s="23">
        <f>SUM(F3686:F3691)</f>
        <v>4539</v>
      </c>
    </row>
    <row r="3693" spans="2:6" ht="17" thickBot="1">
      <c r="B3693" s="8"/>
      <c r="C3693" s="8"/>
      <c r="D3693" s="8"/>
      <c r="E3693" s="8"/>
    </row>
    <row r="3694" spans="2:6" ht="15" thickTop="1" thickBot="1">
      <c r="B3694" s="16" t="s">
        <v>28</v>
      </c>
      <c r="C3694" s="17" t="s">
        <v>14</v>
      </c>
      <c r="D3694" s="17" t="s">
        <v>15</v>
      </c>
      <c r="E3694" s="17" t="s">
        <v>16</v>
      </c>
      <c r="F3694" s="18" t="s">
        <v>17</v>
      </c>
    </row>
    <row r="3695" spans="2:6" ht="17" thickTop="1">
      <c r="B3695" s="8"/>
      <c r="C3695" s="8"/>
      <c r="D3695" s="8"/>
      <c r="E3695" s="8"/>
    </row>
    <row r="3696" spans="2:6">
      <c r="B3696" s="20" t="s">
        <v>212</v>
      </c>
      <c r="C3696" s="20" t="s">
        <v>32</v>
      </c>
      <c r="D3696" s="71">
        <v>2E-3</v>
      </c>
      <c r="E3696" s="22">
        <v>35000</v>
      </c>
      <c r="F3696" s="25">
        <f>E3696*D3696</f>
        <v>70</v>
      </c>
    </row>
    <row r="3697" spans="2:6">
      <c r="B3697" s="20" t="s">
        <v>213</v>
      </c>
      <c r="C3697" s="20" t="s">
        <v>30</v>
      </c>
      <c r="D3697" s="71">
        <v>1E-3</v>
      </c>
      <c r="E3697" s="22">
        <v>54000</v>
      </c>
      <c r="F3697" s="25">
        <f>E3697*D3697</f>
        <v>54</v>
      </c>
    </row>
    <row r="3698" spans="2:6" ht="16">
      <c r="B3698" s="26"/>
      <c r="C3698" s="26"/>
      <c r="D3698" s="26"/>
      <c r="E3698" s="26"/>
      <c r="F3698" s="25">
        <f>E3698*D3698</f>
        <v>0</v>
      </c>
    </row>
    <row r="3699" spans="2:6" ht="16">
      <c r="B3699" s="26"/>
      <c r="C3699" s="26"/>
      <c r="D3699" s="26"/>
      <c r="E3699" s="26"/>
      <c r="F3699" s="25">
        <f>E3699*D3699</f>
        <v>0</v>
      </c>
    </row>
    <row r="3700" spans="2:6" ht="16">
      <c r="B3700" s="30"/>
      <c r="C3700" s="26"/>
      <c r="D3700" s="26"/>
      <c r="E3700" s="26"/>
      <c r="F3700" s="25">
        <f>E3700*D3700</f>
        <v>0</v>
      </c>
    </row>
    <row r="3701" spans="2:6" ht="16">
      <c r="B3701" s="8"/>
      <c r="C3701" s="8"/>
      <c r="D3701" s="8"/>
      <c r="E3701" s="8"/>
    </row>
    <row r="3702" spans="2:6" ht="14" thickBot="1">
      <c r="B3702" s="19" t="s">
        <v>33</v>
      </c>
      <c r="C3702" s="19"/>
      <c r="D3702" s="19"/>
      <c r="E3702" s="19"/>
      <c r="F3702" s="23">
        <f>SUM(F3696:F3701)</f>
        <v>124</v>
      </c>
    </row>
    <row r="3703" spans="2:6" ht="16">
      <c r="B3703" s="8"/>
      <c r="C3703" s="8"/>
      <c r="D3703" s="8"/>
      <c r="E3703" s="8"/>
    </row>
    <row r="3704" spans="2:6" ht="17" thickBot="1">
      <c r="B3704" s="8"/>
      <c r="C3704" s="8"/>
      <c r="D3704" s="8"/>
      <c r="E3704" s="8"/>
    </row>
    <row r="3705" spans="2:6" ht="17" thickBot="1">
      <c r="B3705" s="31" t="s">
        <v>34</v>
      </c>
      <c r="C3705" s="13"/>
      <c r="D3705" s="13"/>
      <c r="E3705" s="13"/>
      <c r="F3705" s="32">
        <f>F3682+F3692+F3702</f>
        <v>7863</v>
      </c>
    </row>
    <row r="3706" spans="2:6" ht="17" thickBot="1">
      <c r="B3706" s="31" t="s">
        <v>35</v>
      </c>
      <c r="C3706" s="13"/>
      <c r="D3706" s="13"/>
      <c r="E3706" s="33">
        <f>E3649</f>
        <v>0.1</v>
      </c>
      <c r="F3706" s="32">
        <f>F3705*E3706</f>
        <v>786.30000000000007</v>
      </c>
    </row>
    <row r="3707" spans="2:6" ht="17" thickBot="1">
      <c r="B3707" s="31" t="s">
        <v>36</v>
      </c>
      <c r="C3707" s="13"/>
      <c r="D3707" s="13"/>
      <c r="E3707" s="33">
        <f>E3650</f>
        <v>0.1</v>
      </c>
      <c r="F3707" s="32">
        <f>F3705*E3707</f>
        <v>786.30000000000007</v>
      </c>
    </row>
    <row r="3708" spans="2:6" ht="17" thickBot="1">
      <c r="B3708" s="34" t="s">
        <v>37</v>
      </c>
      <c r="C3708" s="35"/>
      <c r="D3708" s="35"/>
      <c r="E3708" s="35"/>
      <c r="F3708" s="32">
        <f>SUM(F3705:F3707)</f>
        <v>9435.5999999999985</v>
      </c>
    </row>
    <row r="3709" spans="2:6" ht="17" thickBot="1">
      <c r="B3709" s="36"/>
      <c r="C3709" s="8"/>
      <c r="D3709" s="8"/>
      <c r="E3709" s="8"/>
    </row>
    <row r="3710" spans="2:6" ht="18" thickTop="1" thickBot="1">
      <c r="B3710" s="37" t="s">
        <v>38</v>
      </c>
      <c r="C3710" s="8"/>
      <c r="D3710" s="8"/>
      <c r="E3710" s="8"/>
    </row>
    <row r="3711" spans="2:6" ht="18" thickTop="1" thickBot="1">
      <c r="B3711" s="8"/>
      <c r="C3711" s="8"/>
      <c r="D3711" s="8"/>
      <c r="E3711" s="8"/>
    </row>
    <row r="3712" spans="2:6" ht="17" thickTop="1">
      <c r="B3712" s="38"/>
      <c r="C3712" s="13"/>
      <c r="D3712" s="13"/>
      <c r="E3712" s="39"/>
      <c r="F3712" s="40"/>
    </row>
    <row r="3713" spans="2:6" ht="16">
      <c r="B3713" s="38"/>
      <c r="C3713" s="13"/>
      <c r="D3713" s="13"/>
      <c r="E3713" s="41"/>
      <c r="F3713" s="42"/>
    </row>
    <row r="3714" spans="2:6" ht="16">
      <c r="B3714" s="38"/>
      <c r="C3714" s="13"/>
      <c r="D3714" s="13"/>
      <c r="E3714" s="41"/>
      <c r="F3714" s="42"/>
    </row>
    <row r="3715" spans="2:6" ht="17" thickBot="1">
      <c r="B3715" s="54"/>
      <c r="C3715" s="35"/>
      <c r="D3715" s="35"/>
      <c r="E3715" s="44"/>
      <c r="F3715" s="45"/>
    </row>
    <row r="3716" spans="2:6" ht="17" thickTop="1">
      <c r="B3716" s="46"/>
      <c r="C3716" s="46"/>
      <c r="D3716" s="46"/>
      <c r="E3716" s="47"/>
      <c r="F3716" s="47"/>
    </row>
    <row r="3717" spans="2:6" ht="20" customHeight="1" thickBot="1">
      <c r="B3717" s="1" t="s">
        <v>0</v>
      </c>
      <c r="C3717" s="1"/>
    </row>
    <row r="3718" spans="2:6" ht="17" thickBot="1">
      <c r="B3718" s="1" t="s">
        <v>1</v>
      </c>
      <c r="C3718" s="1"/>
      <c r="E3718" s="4" t="s">
        <v>2</v>
      </c>
      <c r="F3718" s="5"/>
    </row>
    <row r="3719" spans="2:6">
      <c r="B3719" s="6"/>
    </row>
    <row r="3720" spans="2:6" ht="16">
      <c r="B3720" s="7" t="s">
        <v>3</v>
      </c>
      <c r="C3720" s="7"/>
      <c r="D3720" s="7"/>
      <c r="E3720" s="7"/>
      <c r="F3720" s="7"/>
    </row>
    <row r="3721" spans="2:6" ht="16">
      <c r="B3721" s="8"/>
      <c r="C3721" s="8"/>
      <c r="D3721" s="8"/>
      <c r="E3721" s="8"/>
    </row>
    <row r="3722" spans="2:6" ht="16">
      <c r="B3722" s="9" t="s">
        <v>4</v>
      </c>
      <c r="C3722" s="13" t="str">
        <f>C3665</f>
        <v>MEJORAMIENTO ESPACIO PUBLICO JJVV LUCILA GODOY ALCAYAGA</v>
      </c>
      <c r="D3722" s="13"/>
      <c r="E3722" s="13"/>
      <c r="F3722" s="14"/>
    </row>
    <row r="3723" spans="2:6" ht="16">
      <c r="B3723" s="12"/>
      <c r="C3723" s="8"/>
      <c r="D3723" s="8"/>
      <c r="E3723" s="8"/>
    </row>
    <row r="3724" spans="2:6" ht="16">
      <c r="B3724" s="9" t="s">
        <v>5</v>
      </c>
      <c r="C3724" s="13" t="s">
        <v>6</v>
      </c>
      <c r="D3724" s="13"/>
      <c r="E3724" s="13"/>
      <c r="F3724" s="14"/>
    </row>
    <row r="3725" spans="2:6" ht="16">
      <c r="B3725" s="9"/>
      <c r="C3725" s="13"/>
      <c r="D3725" s="13"/>
      <c r="E3725" s="13"/>
      <c r="F3725" s="14"/>
    </row>
    <row r="3726" spans="2:6" ht="16">
      <c r="B3726" s="9" t="s">
        <v>7</v>
      </c>
      <c r="C3726" s="13" t="str">
        <f>[1]LGA!A88</f>
        <v>5.3</v>
      </c>
      <c r="D3726" s="13"/>
      <c r="E3726" s="13"/>
      <c r="F3726" s="14"/>
    </row>
    <row r="3727" spans="2:6" ht="16">
      <c r="B3727" s="9" t="s">
        <v>8</v>
      </c>
      <c r="C3727" s="13" t="s">
        <v>248</v>
      </c>
      <c r="D3727" s="13"/>
      <c r="E3727" s="13"/>
      <c r="F3727" s="14"/>
    </row>
    <row r="3728" spans="2:6" ht="16">
      <c r="B3728" s="9" t="s">
        <v>10</v>
      </c>
      <c r="C3728" s="13" t="s">
        <v>95</v>
      </c>
      <c r="D3728" s="13"/>
      <c r="E3728" s="13"/>
      <c r="F3728" s="14"/>
    </row>
    <row r="3729" spans="2:6" ht="16">
      <c r="B3729" s="9" t="s">
        <v>12</v>
      </c>
      <c r="C3729" s="15">
        <f>C3672</f>
        <v>46024</v>
      </c>
      <c r="D3729" s="13"/>
      <c r="E3729" s="13"/>
      <c r="F3729" s="14"/>
    </row>
    <row r="3730" spans="2:6" ht="17" thickBot="1">
      <c r="B3730" s="8"/>
      <c r="C3730" s="8"/>
      <c r="D3730" s="8"/>
      <c r="E3730" s="8"/>
    </row>
    <row r="3731" spans="2:6" ht="15" thickTop="1" thickBot="1">
      <c r="B3731" s="16" t="s">
        <v>13</v>
      </c>
      <c r="C3731" s="17" t="s">
        <v>14</v>
      </c>
      <c r="D3731" s="17" t="s">
        <v>15</v>
      </c>
      <c r="E3731" s="17" t="s">
        <v>16</v>
      </c>
      <c r="F3731" s="18" t="s">
        <v>17</v>
      </c>
    </row>
    <row r="3732" spans="2:6" ht="14" thickTop="1">
      <c r="B3732" s="19"/>
      <c r="C3732" s="19"/>
      <c r="D3732" s="19"/>
      <c r="E3732" s="19"/>
      <c r="F3732" s="19"/>
    </row>
    <row r="3733" spans="2:6" ht="16">
      <c r="B3733" s="20" t="s">
        <v>249</v>
      </c>
      <c r="C3733" s="76" t="s">
        <v>95</v>
      </c>
      <c r="D3733" s="21">
        <v>0.05</v>
      </c>
      <c r="E3733" s="22">
        <v>68000</v>
      </c>
      <c r="F3733" s="22">
        <f t="shared" ref="F3733:F3738" si="62">E3733*D3733</f>
        <v>3400</v>
      </c>
    </row>
    <row r="3734" spans="2:6">
      <c r="B3734" s="20" t="s">
        <v>229</v>
      </c>
      <c r="C3734" s="21" t="s">
        <v>56</v>
      </c>
      <c r="D3734" s="21">
        <v>0.05</v>
      </c>
      <c r="E3734" s="22">
        <v>2500</v>
      </c>
      <c r="F3734" s="22">
        <f t="shared" si="62"/>
        <v>125</v>
      </c>
    </row>
    <row r="3735" spans="2:6">
      <c r="B3735" s="20" t="s">
        <v>230</v>
      </c>
      <c r="C3735" s="21" t="s">
        <v>170</v>
      </c>
      <c r="D3735" s="21">
        <v>0.05</v>
      </c>
      <c r="E3735" s="22">
        <v>8000</v>
      </c>
      <c r="F3735" s="22">
        <f t="shared" si="62"/>
        <v>400</v>
      </c>
    </row>
    <row r="3736" spans="2:6">
      <c r="B3736" s="20"/>
      <c r="C3736" s="21"/>
      <c r="D3736" s="21"/>
      <c r="E3736" s="22"/>
      <c r="F3736" s="22">
        <f t="shared" si="62"/>
        <v>0</v>
      </c>
    </row>
    <row r="3737" spans="2:6">
      <c r="B3737" s="20"/>
      <c r="C3737" s="21"/>
      <c r="D3737" s="21"/>
      <c r="E3737" s="22"/>
      <c r="F3737" s="22">
        <f t="shared" si="62"/>
        <v>0</v>
      </c>
    </row>
    <row r="3738" spans="2:6">
      <c r="B3738" s="20"/>
      <c r="C3738" s="21"/>
      <c r="D3738" s="21"/>
      <c r="E3738" s="22"/>
      <c r="F3738" s="22">
        <f t="shared" si="62"/>
        <v>0</v>
      </c>
    </row>
    <row r="3739" spans="2:6" ht="17" thickBot="1">
      <c r="B3739" s="6" t="s">
        <v>19</v>
      </c>
      <c r="C3739" s="8"/>
      <c r="D3739" s="8"/>
      <c r="E3739" s="8"/>
      <c r="F3739" s="23">
        <f>SUM(F3733:F3738)</f>
        <v>3925</v>
      </c>
    </row>
    <row r="3740" spans="2:6" ht="17" thickBot="1">
      <c r="B3740" s="8"/>
      <c r="C3740" s="8"/>
      <c r="D3740" s="8"/>
      <c r="E3740" s="8"/>
    </row>
    <row r="3741" spans="2:6" ht="15" thickTop="1" thickBot="1">
      <c r="B3741" s="16" t="s">
        <v>20</v>
      </c>
      <c r="C3741" s="17" t="s">
        <v>14</v>
      </c>
      <c r="D3741" s="17" t="s">
        <v>15</v>
      </c>
      <c r="E3741" s="17" t="s">
        <v>16</v>
      </c>
      <c r="F3741" s="18" t="s">
        <v>17</v>
      </c>
    </row>
    <row r="3742" spans="2:6" ht="17" thickTop="1">
      <c r="B3742" s="8"/>
      <c r="C3742" s="8"/>
      <c r="D3742" s="8"/>
      <c r="E3742" s="8"/>
    </row>
    <row r="3743" spans="2:6">
      <c r="B3743" s="24" t="s">
        <v>194</v>
      </c>
      <c r="C3743" s="20" t="s">
        <v>22</v>
      </c>
      <c r="D3743" s="20">
        <v>0.05</v>
      </c>
      <c r="E3743" s="22">
        <v>35000</v>
      </c>
      <c r="F3743" s="25">
        <f>E3743*D3743</f>
        <v>1750</v>
      </c>
    </row>
    <row r="3744" spans="2:6">
      <c r="B3744" s="20" t="s">
        <v>23</v>
      </c>
      <c r="C3744" s="20" t="s">
        <v>22</v>
      </c>
      <c r="D3744" s="20">
        <v>0.05</v>
      </c>
      <c r="E3744" s="22">
        <v>15000</v>
      </c>
      <c r="F3744" s="25">
        <f>E3744*D3744</f>
        <v>750</v>
      </c>
    </row>
    <row r="3745" spans="2:6" ht="16">
      <c r="B3745" s="26"/>
      <c r="C3745" s="26"/>
      <c r="D3745" s="26"/>
      <c r="E3745" s="26"/>
      <c r="F3745" s="25">
        <f>E3745*D3745</f>
        <v>0</v>
      </c>
    </row>
    <row r="3746" spans="2:6" ht="16">
      <c r="B3746" s="26"/>
      <c r="C3746" s="26"/>
      <c r="D3746" s="26"/>
      <c r="E3746" s="26"/>
      <c r="F3746" s="25">
        <f>E3746*D3746</f>
        <v>0</v>
      </c>
    </row>
    <row r="3747" spans="2:6" ht="16">
      <c r="B3747" s="27" t="s">
        <v>25</v>
      </c>
      <c r="C3747" s="27" t="s">
        <v>26</v>
      </c>
      <c r="D3747" s="28">
        <v>0.32</v>
      </c>
      <c r="E3747" s="29">
        <f>SUM(E3743:E3746)*D3747</f>
        <v>16000</v>
      </c>
      <c r="F3747" s="25">
        <f>SUM(F3743:F3745)*D3747</f>
        <v>800</v>
      </c>
    </row>
    <row r="3748" spans="2:6" ht="16">
      <c r="B3748" s="8"/>
      <c r="C3748" s="8"/>
      <c r="D3748" s="8"/>
      <c r="E3748" s="8"/>
    </row>
    <row r="3749" spans="2:6" ht="17" thickBot="1">
      <c r="B3749" s="6" t="s">
        <v>27</v>
      </c>
      <c r="C3749" s="8"/>
      <c r="D3749" s="8"/>
      <c r="E3749" s="8"/>
      <c r="F3749" s="23">
        <f>SUM(F3743:F3748)</f>
        <v>3300</v>
      </c>
    </row>
    <row r="3750" spans="2:6" ht="17" thickBot="1">
      <c r="B3750" s="8"/>
      <c r="C3750" s="8"/>
      <c r="D3750" s="8"/>
      <c r="E3750" s="8"/>
    </row>
    <row r="3751" spans="2:6" ht="15" thickTop="1" thickBot="1">
      <c r="B3751" s="16" t="s">
        <v>28</v>
      </c>
      <c r="C3751" s="17" t="s">
        <v>14</v>
      </c>
      <c r="D3751" s="17" t="s">
        <v>15</v>
      </c>
      <c r="E3751" s="17" t="s">
        <v>16</v>
      </c>
      <c r="F3751" s="18" t="s">
        <v>17</v>
      </c>
    </row>
    <row r="3752" spans="2:6" ht="17" thickTop="1">
      <c r="B3752" s="8"/>
      <c r="C3752" s="8"/>
      <c r="D3752" s="8"/>
      <c r="E3752" s="8"/>
    </row>
    <row r="3753" spans="2:6">
      <c r="B3753" s="20"/>
      <c r="C3753" s="20"/>
      <c r="D3753" s="20"/>
      <c r="E3753" s="22"/>
      <c r="F3753" s="25">
        <f>E3753*D3753</f>
        <v>0</v>
      </c>
    </row>
    <row r="3754" spans="2:6">
      <c r="B3754" s="20" t="s">
        <v>31</v>
      </c>
      <c r="C3754" s="20" t="s">
        <v>32</v>
      </c>
      <c r="D3754" s="71">
        <v>0.03</v>
      </c>
      <c r="E3754" s="22">
        <v>25000</v>
      </c>
      <c r="F3754" s="25">
        <f>E3754*D3754</f>
        <v>750</v>
      </c>
    </row>
    <row r="3755" spans="2:6" ht="16">
      <c r="B3755" s="26" t="s">
        <v>232</v>
      </c>
      <c r="C3755" s="26" t="s">
        <v>30</v>
      </c>
      <c r="D3755" s="71">
        <v>0.03</v>
      </c>
      <c r="E3755" s="22">
        <v>50000</v>
      </c>
      <c r="F3755" s="25">
        <f>E3755*D3755</f>
        <v>1500</v>
      </c>
    </row>
    <row r="3756" spans="2:6" ht="16">
      <c r="B3756" s="26" t="s">
        <v>233</v>
      </c>
      <c r="C3756" s="26" t="s">
        <v>30</v>
      </c>
      <c r="D3756" s="71">
        <v>0.03</v>
      </c>
      <c r="E3756" s="22">
        <v>25000</v>
      </c>
      <c r="F3756" s="25">
        <f>E3756*D3756</f>
        <v>750</v>
      </c>
    </row>
    <row r="3757" spans="2:6" ht="16">
      <c r="B3757" s="30"/>
      <c r="C3757" s="26"/>
      <c r="D3757" s="26"/>
      <c r="E3757" s="26"/>
      <c r="F3757" s="25">
        <f>E3757*D3757</f>
        <v>0</v>
      </c>
    </row>
    <row r="3758" spans="2:6" ht="16">
      <c r="B3758" s="8"/>
      <c r="C3758" s="8"/>
      <c r="D3758" s="8"/>
      <c r="E3758" s="8"/>
    </row>
    <row r="3759" spans="2:6" ht="14" thickBot="1">
      <c r="B3759" s="19" t="s">
        <v>33</v>
      </c>
      <c r="C3759" s="19"/>
      <c r="D3759" s="19"/>
      <c r="E3759" s="19"/>
      <c r="F3759" s="23">
        <f>SUM(F3753:F3758)</f>
        <v>3000</v>
      </c>
    </row>
    <row r="3760" spans="2:6" ht="16">
      <c r="B3760" s="8"/>
      <c r="C3760" s="8"/>
      <c r="D3760" s="8"/>
      <c r="E3760" s="8"/>
    </row>
    <row r="3761" spans="2:6" ht="17" thickBot="1">
      <c r="B3761" s="8"/>
      <c r="C3761" s="8"/>
      <c r="D3761" s="8"/>
      <c r="E3761" s="8"/>
    </row>
    <row r="3762" spans="2:6" ht="17" thickBot="1">
      <c r="B3762" s="31" t="s">
        <v>34</v>
      </c>
      <c r="C3762" s="13"/>
      <c r="D3762" s="13"/>
      <c r="E3762" s="13"/>
      <c r="F3762" s="32">
        <f>F3739+F3749+F3759</f>
        <v>10225</v>
      </c>
    </row>
    <row r="3763" spans="2:6" ht="17" thickBot="1">
      <c r="B3763" s="31" t="s">
        <v>35</v>
      </c>
      <c r="C3763" s="13"/>
      <c r="D3763" s="13"/>
      <c r="E3763" s="33">
        <f>E3706</f>
        <v>0.1</v>
      </c>
      <c r="F3763" s="32">
        <f>F3762*E3763</f>
        <v>1022.5</v>
      </c>
    </row>
    <row r="3764" spans="2:6" ht="17" thickBot="1">
      <c r="B3764" s="31" t="s">
        <v>36</v>
      </c>
      <c r="C3764" s="13"/>
      <c r="D3764" s="13"/>
      <c r="E3764" s="33">
        <f>E3707</f>
        <v>0.1</v>
      </c>
      <c r="F3764" s="32">
        <f>F3762*E3764</f>
        <v>1022.5</v>
      </c>
    </row>
    <row r="3765" spans="2:6" ht="17" thickBot="1">
      <c r="B3765" s="34" t="s">
        <v>37</v>
      </c>
      <c r="C3765" s="35"/>
      <c r="D3765" s="35"/>
      <c r="E3765" s="35"/>
      <c r="F3765" s="32">
        <f>SUM(F3762:F3764)</f>
        <v>12270</v>
      </c>
    </row>
    <row r="3766" spans="2:6" ht="17" thickBot="1">
      <c r="B3766" s="36"/>
      <c r="C3766" s="8"/>
      <c r="D3766" s="8"/>
      <c r="E3766" s="8"/>
    </row>
    <row r="3767" spans="2:6" ht="18" thickTop="1" thickBot="1">
      <c r="B3767" s="37" t="s">
        <v>38</v>
      </c>
      <c r="C3767" s="8"/>
      <c r="D3767" s="8"/>
      <c r="E3767" s="8"/>
    </row>
    <row r="3768" spans="2:6" ht="18" thickTop="1" thickBot="1">
      <c r="B3768" s="8"/>
      <c r="C3768" s="8"/>
      <c r="D3768" s="8"/>
      <c r="E3768" s="8"/>
    </row>
    <row r="3769" spans="2:6" ht="17" thickTop="1">
      <c r="B3769" s="38"/>
      <c r="C3769" s="13"/>
      <c r="D3769" s="13"/>
      <c r="E3769" s="39"/>
      <c r="F3769" s="40"/>
    </row>
    <row r="3770" spans="2:6" ht="16">
      <c r="B3770" s="38"/>
      <c r="C3770" s="13"/>
      <c r="D3770" s="13"/>
      <c r="E3770" s="41"/>
      <c r="F3770" s="42"/>
    </row>
    <row r="3771" spans="2:6" ht="16">
      <c r="B3771" s="38"/>
      <c r="C3771" s="13"/>
      <c r="D3771" s="13"/>
      <c r="E3771" s="41"/>
      <c r="F3771" s="42"/>
    </row>
    <row r="3772" spans="2:6" ht="17" thickBot="1">
      <c r="B3772" s="54"/>
      <c r="C3772" s="35"/>
      <c r="D3772" s="35"/>
      <c r="E3772" s="44"/>
      <c r="F3772" s="45"/>
    </row>
    <row r="3773" spans="2:6" ht="17" thickTop="1">
      <c r="B3773" s="46"/>
      <c r="C3773" s="46"/>
      <c r="D3773" s="46"/>
      <c r="E3773" s="47"/>
      <c r="F3773" s="47"/>
    </row>
    <row r="3774" spans="2:6" ht="14" thickBot="1">
      <c r="B3774" s="1" t="s">
        <v>0</v>
      </c>
      <c r="C3774" s="1"/>
    </row>
    <row r="3775" spans="2:6" ht="17" thickBot="1">
      <c r="B3775" s="1" t="s">
        <v>1</v>
      </c>
      <c r="C3775" s="1"/>
      <c r="E3775" s="4" t="s">
        <v>2</v>
      </c>
      <c r="F3775" s="5"/>
    </row>
    <row r="3776" spans="2:6">
      <c r="B3776" s="6"/>
    </row>
    <row r="3777" spans="2:6" ht="16">
      <c r="B3777" s="7" t="s">
        <v>3</v>
      </c>
      <c r="C3777" s="7"/>
      <c r="D3777" s="7"/>
      <c r="E3777" s="7"/>
      <c r="F3777" s="7"/>
    </row>
    <row r="3778" spans="2:6" ht="16">
      <c r="B3778" s="8"/>
      <c r="C3778" s="8"/>
      <c r="D3778" s="8"/>
      <c r="E3778" s="8"/>
    </row>
    <row r="3779" spans="2:6" ht="16">
      <c r="B3779" s="9" t="s">
        <v>4</v>
      </c>
      <c r="C3779" s="13" t="str">
        <f>C3722</f>
        <v>MEJORAMIENTO ESPACIO PUBLICO JJVV LUCILA GODOY ALCAYAGA</v>
      </c>
      <c r="D3779" s="13"/>
      <c r="E3779" s="13"/>
      <c r="F3779" s="14"/>
    </row>
    <row r="3780" spans="2:6" ht="16">
      <c r="B3780" s="12"/>
      <c r="C3780" s="8"/>
      <c r="D3780" s="8"/>
      <c r="E3780" s="8"/>
    </row>
    <row r="3781" spans="2:6" ht="16">
      <c r="B3781" s="9" t="s">
        <v>5</v>
      </c>
      <c r="C3781" s="13" t="s">
        <v>6</v>
      </c>
      <c r="D3781" s="13"/>
      <c r="E3781" s="13"/>
      <c r="F3781" s="14"/>
    </row>
    <row r="3782" spans="2:6" ht="16">
      <c r="B3782" s="9"/>
      <c r="C3782" s="13"/>
      <c r="D3782" s="13"/>
      <c r="E3782" s="13"/>
      <c r="F3782" s="14"/>
    </row>
    <row r="3783" spans="2:6" ht="16">
      <c r="B3783" s="9" t="s">
        <v>7</v>
      </c>
      <c r="C3783" s="13" t="str">
        <f>[1]LGA!A89</f>
        <v>5.4</v>
      </c>
      <c r="D3783" s="13"/>
      <c r="E3783" s="13"/>
      <c r="F3783" s="14"/>
    </row>
    <row r="3784" spans="2:6" ht="16">
      <c r="B3784" s="9" t="s">
        <v>8</v>
      </c>
      <c r="C3784" s="13" t="s">
        <v>250</v>
      </c>
      <c r="D3784" s="13"/>
      <c r="E3784" s="13"/>
      <c r="F3784" s="14"/>
    </row>
    <row r="3785" spans="2:6" ht="16">
      <c r="B3785" s="9" t="s">
        <v>10</v>
      </c>
      <c r="C3785" s="13" t="s">
        <v>170</v>
      </c>
      <c r="D3785" s="13"/>
      <c r="E3785" s="13"/>
      <c r="F3785" s="14"/>
    </row>
    <row r="3786" spans="2:6" ht="16">
      <c r="B3786" s="9" t="s">
        <v>12</v>
      </c>
      <c r="C3786" s="15">
        <f>C3729</f>
        <v>46024</v>
      </c>
      <c r="D3786" s="13"/>
      <c r="E3786" s="13"/>
      <c r="F3786" s="14"/>
    </row>
    <row r="3787" spans="2:6" ht="17" thickBot="1">
      <c r="B3787" s="8"/>
      <c r="C3787" s="8"/>
      <c r="D3787" s="8"/>
      <c r="E3787" s="8"/>
    </row>
    <row r="3788" spans="2:6" ht="15" thickTop="1" thickBot="1">
      <c r="B3788" s="16" t="s">
        <v>13</v>
      </c>
      <c r="C3788" s="17" t="s">
        <v>14</v>
      </c>
      <c r="D3788" s="17" t="s">
        <v>15</v>
      </c>
      <c r="E3788" s="17" t="s">
        <v>16</v>
      </c>
      <c r="F3788" s="18" t="s">
        <v>17</v>
      </c>
    </row>
    <row r="3789" spans="2:6" ht="14" thickTop="1">
      <c r="B3789" s="19"/>
      <c r="C3789" s="19"/>
      <c r="D3789" s="19"/>
      <c r="E3789" s="19"/>
      <c r="F3789" s="19"/>
    </row>
    <row r="3790" spans="2:6">
      <c r="B3790" s="20" t="s">
        <v>251</v>
      </c>
      <c r="C3790" s="21" t="s">
        <v>170</v>
      </c>
      <c r="D3790" s="21">
        <v>0.01</v>
      </c>
      <c r="E3790" s="22">
        <v>35000</v>
      </c>
      <c r="F3790" s="22">
        <f t="shared" ref="F3790:F3795" si="63">E3790*D3790</f>
        <v>350</v>
      </c>
    </row>
    <row r="3791" spans="2:6">
      <c r="B3791" s="20" t="s">
        <v>229</v>
      </c>
      <c r="C3791" s="21" t="s">
        <v>56</v>
      </c>
      <c r="D3791" s="21">
        <v>0.2</v>
      </c>
      <c r="E3791" s="22">
        <v>2500</v>
      </c>
      <c r="F3791" s="22">
        <f t="shared" si="63"/>
        <v>500</v>
      </c>
    </row>
    <row r="3792" spans="2:6">
      <c r="B3792" s="20" t="s">
        <v>230</v>
      </c>
      <c r="C3792" s="21" t="s">
        <v>170</v>
      </c>
      <c r="D3792" s="21">
        <v>0.01</v>
      </c>
      <c r="E3792" s="22">
        <v>8000</v>
      </c>
      <c r="F3792" s="22">
        <f t="shared" si="63"/>
        <v>80</v>
      </c>
    </row>
    <row r="3793" spans="2:6">
      <c r="B3793" s="20"/>
      <c r="C3793" s="21"/>
      <c r="D3793" s="21"/>
      <c r="E3793" s="22"/>
      <c r="F3793" s="22">
        <f t="shared" si="63"/>
        <v>0</v>
      </c>
    </row>
    <row r="3794" spans="2:6">
      <c r="B3794" s="20"/>
      <c r="C3794" s="21"/>
      <c r="D3794" s="21"/>
      <c r="E3794" s="22"/>
      <c r="F3794" s="22">
        <f t="shared" si="63"/>
        <v>0</v>
      </c>
    </row>
    <row r="3795" spans="2:6">
      <c r="B3795" s="20"/>
      <c r="C3795" s="21"/>
      <c r="D3795" s="21"/>
      <c r="E3795" s="22"/>
      <c r="F3795" s="22">
        <f t="shared" si="63"/>
        <v>0</v>
      </c>
    </row>
    <row r="3796" spans="2:6" ht="17" thickBot="1">
      <c r="B3796" s="6" t="s">
        <v>19</v>
      </c>
      <c r="C3796" s="8"/>
      <c r="D3796" s="8"/>
      <c r="E3796" s="8"/>
      <c r="F3796" s="23">
        <f>SUM(F3790:F3795)</f>
        <v>930</v>
      </c>
    </row>
    <row r="3797" spans="2:6" ht="17" thickBot="1">
      <c r="B3797" s="8"/>
      <c r="C3797" s="8"/>
      <c r="D3797" s="8"/>
      <c r="E3797" s="8"/>
    </row>
    <row r="3798" spans="2:6" ht="15" thickTop="1" thickBot="1">
      <c r="B3798" s="16" t="s">
        <v>20</v>
      </c>
      <c r="C3798" s="17" t="s">
        <v>14</v>
      </c>
      <c r="D3798" s="17" t="s">
        <v>15</v>
      </c>
      <c r="E3798" s="17" t="s">
        <v>16</v>
      </c>
      <c r="F3798" s="18" t="s">
        <v>17</v>
      </c>
    </row>
    <row r="3799" spans="2:6" ht="17" thickTop="1">
      <c r="B3799" s="8"/>
      <c r="C3799" s="8"/>
      <c r="D3799" s="8"/>
      <c r="E3799" s="8"/>
    </row>
    <row r="3800" spans="2:6">
      <c r="B3800" s="24" t="s">
        <v>21</v>
      </c>
      <c r="C3800" s="20" t="s">
        <v>22</v>
      </c>
      <c r="D3800" s="20">
        <v>4.4000000000000003E-3</v>
      </c>
      <c r="E3800" s="22">
        <v>27500</v>
      </c>
      <c r="F3800" s="25">
        <f>E3800*D3800</f>
        <v>121.00000000000001</v>
      </c>
    </row>
    <row r="3801" spans="2:6">
      <c r="B3801" s="20" t="s">
        <v>23</v>
      </c>
      <c r="C3801" s="20" t="s">
        <v>22</v>
      </c>
      <c r="D3801" s="20">
        <v>4.4000000000000003E-3</v>
      </c>
      <c r="E3801" s="22">
        <v>15000</v>
      </c>
      <c r="F3801" s="25">
        <f>E3801*D3801</f>
        <v>66</v>
      </c>
    </row>
    <row r="3802" spans="2:6" ht="16">
      <c r="B3802" s="26"/>
      <c r="C3802" s="26"/>
      <c r="D3802" s="26"/>
      <c r="E3802" s="26"/>
      <c r="F3802" s="25">
        <f>E3802*D3802</f>
        <v>0</v>
      </c>
    </row>
    <row r="3803" spans="2:6" ht="16">
      <c r="B3803" s="26"/>
      <c r="C3803" s="26"/>
      <c r="D3803" s="26"/>
      <c r="E3803" s="26"/>
      <c r="F3803" s="25">
        <f>E3803*D3803</f>
        <v>0</v>
      </c>
    </row>
    <row r="3804" spans="2:6" ht="16">
      <c r="B3804" s="27" t="s">
        <v>25</v>
      </c>
      <c r="C3804" s="27" t="s">
        <v>26</v>
      </c>
      <c r="D3804" s="28">
        <v>0.32</v>
      </c>
      <c r="E3804" s="29">
        <f>SUM(E3800:E3803)*D3804</f>
        <v>13600</v>
      </c>
      <c r="F3804" s="25">
        <f>SUM(F3800:F3802)*D3804</f>
        <v>59.84</v>
      </c>
    </row>
    <row r="3805" spans="2:6" ht="16">
      <c r="B3805" s="8"/>
      <c r="C3805" s="8"/>
      <c r="D3805" s="8"/>
      <c r="E3805" s="8"/>
    </row>
    <row r="3806" spans="2:6" ht="17" thickBot="1">
      <c r="B3806" s="6" t="s">
        <v>27</v>
      </c>
      <c r="C3806" s="8"/>
      <c r="D3806" s="8"/>
      <c r="E3806" s="8"/>
      <c r="F3806" s="23">
        <f>SUM(F3800:F3805)</f>
        <v>246.84</v>
      </c>
    </row>
    <row r="3807" spans="2:6" ht="17" thickBot="1">
      <c r="B3807" s="8"/>
      <c r="C3807" s="8"/>
      <c r="D3807" s="8"/>
      <c r="E3807" s="8"/>
    </row>
    <row r="3808" spans="2:6" ht="15" thickTop="1" thickBot="1">
      <c r="B3808" s="16" t="s">
        <v>28</v>
      </c>
      <c r="C3808" s="17" t="s">
        <v>14</v>
      </c>
      <c r="D3808" s="17" t="s">
        <v>15</v>
      </c>
      <c r="E3808" s="17" t="s">
        <v>16</v>
      </c>
      <c r="F3808" s="18" t="s">
        <v>17</v>
      </c>
    </row>
    <row r="3809" spans="2:6" ht="17" thickTop="1">
      <c r="B3809" s="8"/>
      <c r="C3809" s="8"/>
      <c r="D3809" s="8"/>
      <c r="E3809" s="8"/>
    </row>
    <row r="3810" spans="2:6">
      <c r="B3810" s="20"/>
      <c r="C3810" s="20"/>
      <c r="D3810" s="20"/>
      <c r="E3810" s="22"/>
      <c r="F3810" s="25">
        <f>E3810*D3810</f>
        <v>0</v>
      </c>
    </row>
    <row r="3811" spans="2:6">
      <c r="B3811" s="20" t="s">
        <v>31</v>
      </c>
      <c r="C3811" s="20" t="s">
        <v>32</v>
      </c>
      <c r="D3811" s="71">
        <v>1.6E-2</v>
      </c>
      <c r="E3811" s="22">
        <v>25000</v>
      </c>
      <c r="F3811" s="25">
        <f>E3811*D3811</f>
        <v>400</v>
      </c>
    </row>
    <row r="3812" spans="2:6" ht="16">
      <c r="B3812" s="26" t="s">
        <v>232</v>
      </c>
      <c r="C3812" s="26" t="s">
        <v>30</v>
      </c>
      <c r="D3812" s="71">
        <v>1.6E-2</v>
      </c>
      <c r="E3812" s="22">
        <v>50000</v>
      </c>
      <c r="F3812" s="25">
        <f>E3812*D3812</f>
        <v>800</v>
      </c>
    </row>
    <row r="3813" spans="2:6" ht="16">
      <c r="B3813" s="26" t="s">
        <v>233</v>
      </c>
      <c r="C3813" s="26" t="s">
        <v>30</v>
      </c>
      <c r="D3813" s="71">
        <v>1.6E-2</v>
      </c>
      <c r="E3813" s="22">
        <v>25000</v>
      </c>
      <c r="F3813" s="25">
        <f>E3813*D3813</f>
        <v>400</v>
      </c>
    </row>
    <row r="3814" spans="2:6" ht="16">
      <c r="B3814" s="30"/>
      <c r="C3814" s="26"/>
      <c r="D3814" s="26"/>
      <c r="E3814" s="26"/>
      <c r="F3814" s="25">
        <f>E3814*D3814</f>
        <v>0</v>
      </c>
    </row>
    <row r="3815" spans="2:6" ht="16">
      <c r="B3815" s="8"/>
      <c r="C3815" s="8"/>
      <c r="D3815" s="8"/>
      <c r="E3815" s="8"/>
    </row>
    <row r="3816" spans="2:6" ht="14" thickBot="1">
      <c r="B3816" s="19" t="s">
        <v>33</v>
      </c>
      <c r="C3816" s="19"/>
      <c r="D3816" s="19"/>
      <c r="E3816" s="19"/>
      <c r="F3816" s="23">
        <f>SUM(F3810:F3815)</f>
        <v>1600</v>
      </c>
    </row>
    <row r="3817" spans="2:6" ht="16">
      <c r="B3817" s="8"/>
      <c r="C3817" s="8"/>
      <c r="D3817" s="8"/>
      <c r="E3817" s="8"/>
    </row>
    <row r="3818" spans="2:6" ht="17" thickBot="1">
      <c r="B3818" s="8"/>
      <c r="C3818" s="8"/>
      <c r="D3818" s="8"/>
      <c r="E3818" s="8"/>
    </row>
    <row r="3819" spans="2:6" ht="17" thickBot="1">
      <c r="B3819" s="31" t="s">
        <v>34</v>
      </c>
      <c r="C3819" s="13"/>
      <c r="D3819" s="13"/>
      <c r="E3819" s="13"/>
      <c r="F3819" s="32">
        <f>F3796+F3806+F3816</f>
        <v>2776.84</v>
      </c>
    </row>
    <row r="3820" spans="2:6" ht="17" thickBot="1">
      <c r="B3820" s="31" t="s">
        <v>35</v>
      </c>
      <c r="C3820" s="13"/>
      <c r="D3820" s="13"/>
      <c r="E3820" s="33">
        <f>E3763</f>
        <v>0.1</v>
      </c>
      <c r="F3820" s="32">
        <f>F3819*E3820</f>
        <v>277.68400000000003</v>
      </c>
    </row>
    <row r="3821" spans="2:6" ht="17" thickBot="1">
      <c r="B3821" s="31" t="s">
        <v>36</v>
      </c>
      <c r="C3821" s="13"/>
      <c r="D3821" s="13"/>
      <c r="E3821" s="33">
        <f>E3764</f>
        <v>0.1</v>
      </c>
      <c r="F3821" s="32">
        <f>F3819*E3821</f>
        <v>277.68400000000003</v>
      </c>
    </row>
    <row r="3822" spans="2:6" ht="17" thickBot="1">
      <c r="B3822" s="34" t="s">
        <v>37</v>
      </c>
      <c r="C3822" s="35"/>
      <c r="D3822" s="35"/>
      <c r="E3822" s="35"/>
      <c r="F3822" s="32">
        <f>SUM(F3819:F3821)</f>
        <v>3332.2080000000005</v>
      </c>
    </row>
    <row r="3823" spans="2:6" ht="17" thickBot="1">
      <c r="B3823" s="36"/>
      <c r="C3823" s="8"/>
      <c r="D3823" s="8"/>
      <c r="E3823" s="8"/>
    </row>
    <row r="3824" spans="2:6" ht="18" thickTop="1" thickBot="1">
      <c r="B3824" s="37" t="s">
        <v>38</v>
      </c>
      <c r="C3824" s="8"/>
      <c r="D3824" s="8"/>
      <c r="E3824" s="8"/>
    </row>
    <row r="3825" spans="2:6" ht="18" thickTop="1" thickBot="1">
      <c r="B3825" s="8"/>
      <c r="C3825" s="8"/>
      <c r="D3825" s="8"/>
      <c r="E3825" s="8"/>
    </row>
    <row r="3826" spans="2:6" ht="17" thickTop="1">
      <c r="B3826" s="38"/>
      <c r="C3826" s="13"/>
      <c r="D3826" s="13"/>
      <c r="E3826" s="39"/>
      <c r="F3826" s="40"/>
    </row>
    <row r="3827" spans="2:6" ht="16">
      <c r="B3827" s="38"/>
      <c r="C3827" s="13"/>
      <c r="D3827" s="13"/>
      <c r="E3827" s="41"/>
      <c r="F3827" s="42"/>
    </row>
    <row r="3828" spans="2:6" ht="16">
      <c r="B3828" s="38"/>
      <c r="C3828" s="13"/>
      <c r="D3828" s="13"/>
      <c r="E3828" s="41"/>
      <c r="F3828" s="42"/>
    </row>
    <row r="3829" spans="2:6" ht="17" thickBot="1">
      <c r="B3829" s="54"/>
      <c r="C3829" s="35"/>
      <c r="D3829" s="35"/>
      <c r="E3829" s="44"/>
      <c r="F3829" s="45"/>
    </row>
    <row r="3830" spans="2:6" ht="17" thickTop="1">
      <c r="B3830" s="46"/>
      <c r="C3830" s="46"/>
      <c r="D3830" s="46"/>
      <c r="E3830" s="47"/>
      <c r="F3830" s="47"/>
    </row>
    <row r="3831" spans="2:6" ht="14" thickBot="1">
      <c r="B3831" s="1" t="s">
        <v>0</v>
      </c>
      <c r="C3831" s="1"/>
    </row>
    <row r="3832" spans="2:6" ht="17" thickBot="1">
      <c r="B3832" s="1" t="s">
        <v>1</v>
      </c>
      <c r="C3832" s="1"/>
      <c r="E3832" s="4" t="s">
        <v>2</v>
      </c>
      <c r="F3832" s="5"/>
    </row>
    <row r="3833" spans="2:6">
      <c r="B3833" s="6"/>
    </row>
    <row r="3834" spans="2:6" ht="16">
      <c r="B3834" s="7" t="s">
        <v>3</v>
      </c>
      <c r="C3834" s="7"/>
      <c r="D3834" s="7"/>
      <c r="E3834" s="7"/>
      <c r="F3834" s="7"/>
    </row>
    <row r="3835" spans="2:6" ht="16">
      <c r="B3835" s="8"/>
      <c r="C3835" s="8"/>
      <c r="D3835" s="8"/>
      <c r="E3835" s="8"/>
    </row>
    <row r="3836" spans="2:6" ht="19" customHeight="1">
      <c r="B3836" s="9" t="s">
        <v>4</v>
      </c>
      <c r="C3836" s="10" t="str">
        <f>C3779</f>
        <v>MEJORAMIENTO ESPACIO PUBLICO JJVV LUCILA GODOY ALCAYAGA</v>
      </c>
      <c r="D3836" s="10"/>
      <c r="E3836" s="10"/>
      <c r="F3836" s="11"/>
    </row>
    <row r="3837" spans="2:6" ht="16">
      <c r="B3837" s="12"/>
      <c r="C3837" s="8"/>
      <c r="D3837" s="8"/>
      <c r="E3837" s="8"/>
    </row>
    <row r="3838" spans="2:6" ht="16">
      <c r="B3838" s="9" t="s">
        <v>5</v>
      </c>
      <c r="C3838" s="13" t="s">
        <v>6</v>
      </c>
      <c r="D3838" s="13"/>
      <c r="E3838" s="13"/>
      <c r="F3838" s="14"/>
    </row>
    <row r="3839" spans="2:6" ht="16">
      <c r="B3839" s="9"/>
      <c r="C3839" s="13"/>
      <c r="D3839" s="13"/>
      <c r="E3839" s="13"/>
      <c r="F3839" s="14"/>
    </row>
    <row r="3840" spans="2:6" ht="16">
      <c r="B3840" s="9" t="s">
        <v>7</v>
      </c>
      <c r="C3840" s="13" t="str">
        <f>[1]LGA!A91</f>
        <v>6.1</v>
      </c>
      <c r="D3840" s="13"/>
      <c r="E3840" s="13"/>
      <c r="F3840" s="14"/>
    </row>
    <row r="3841" spans="2:6" ht="16">
      <c r="B3841" s="9" t="s">
        <v>8</v>
      </c>
      <c r="C3841" s="13" t="s">
        <v>252</v>
      </c>
      <c r="D3841" s="13"/>
      <c r="E3841" s="13"/>
      <c r="F3841" s="14"/>
    </row>
    <row r="3842" spans="2:6" ht="16">
      <c r="B3842" s="9" t="s">
        <v>10</v>
      </c>
      <c r="C3842" s="13" t="s">
        <v>179</v>
      </c>
      <c r="D3842" s="13"/>
      <c r="E3842" s="13"/>
      <c r="F3842" s="14"/>
    </row>
    <row r="3843" spans="2:6" ht="16">
      <c r="B3843" s="9" t="s">
        <v>12</v>
      </c>
      <c r="C3843" s="15">
        <f>C3786</f>
        <v>46024</v>
      </c>
      <c r="D3843" s="13"/>
      <c r="E3843" s="13"/>
      <c r="F3843" s="14"/>
    </row>
    <row r="3844" spans="2:6" ht="17" thickBot="1">
      <c r="B3844" s="8"/>
      <c r="C3844" s="8"/>
      <c r="D3844" s="8"/>
      <c r="E3844" s="8"/>
    </row>
    <row r="3845" spans="2:6" ht="15" thickTop="1" thickBot="1">
      <c r="B3845" s="16" t="s">
        <v>13</v>
      </c>
      <c r="C3845" s="17" t="s">
        <v>14</v>
      </c>
      <c r="D3845" s="17" t="s">
        <v>15</v>
      </c>
      <c r="E3845" s="17" t="s">
        <v>16</v>
      </c>
      <c r="F3845" s="18" t="s">
        <v>17</v>
      </c>
    </row>
    <row r="3846" spans="2:6" ht="14" thickTop="1">
      <c r="B3846" s="19"/>
      <c r="C3846" s="19"/>
      <c r="D3846" s="19"/>
      <c r="E3846" s="19"/>
      <c r="F3846" s="19"/>
    </row>
    <row r="3847" spans="2:6">
      <c r="B3847" s="20" t="s">
        <v>252</v>
      </c>
      <c r="C3847" s="21" t="s">
        <v>56</v>
      </c>
      <c r="D3847" s="21">
        <v>1</v>
      </c>
      <c r="E3847" s="22">
        <v>650000</v>
      </c>
      <c r="F3847" s="22">
        <f t="shared" ref="F3847:F3852" si="64">E3847*D3847</f>
        <v>650000</v>
      </c>
    </row>
    <row r="3848" spans="2:6">
      <c r="B3848" s="20"/>
      <c r="C3848" s="21"/>
      <c r="D3848" s="21"/>
      <c r="E3848" s="22"/>
      <c r="F3848" s="22">
        <f t="shared" si="64"/>
        <v>0</v>
      </c>
    </row>
    <row r="3849" spans="2:6">
      <c r="B3849" s="20"/>
      <c r="C3849" s="21"/>
      <c r="D3849" s="21"/>
      <c r="E3849" s="22"/>
      <c r="F3849" s="22">
        <f t="shared" si="64"/>
        <v>0</v>
      </c>
    </row>
    <row r="3850" spans="2:6">
      <c r="B3850" s="20"/>
      <c r="C3850" s="21"/>
      <c r="D3850" s="21"/>
      <c r="E3850" s="22"/>
      <c r="F3850" s="22">
        <f t="shared" si="64"/>
        <v>0</v>
      </c>
    </row>
    <row r="3851" spans="2:6">
      <c r="B3851" s="20"/>
      <c r="C3851" s="21"/>
      <c r="D3851" s="21"/>
      <c r="E3851" s="22"/>
      <c r="F3851" s="22">
        <f t="shared" si="64"/>
        <v>0</v>
      </c>
    </row>
    <row r="3852" spans="2:6">
      <c r="B3852" s="20"/>
      <c r="C3852" s="21"/>
      <c r="D3852" s="21"/>
      <c r="E3852" s="22"/>
      <c r="F3852" s="22">
        <f t="shared" si="64"/>
        <v>0</v>
      </c>
    </row>
    <row r="3853" spans="2:6" ht="17" thickBot="1">
      <c r="B3853" s="6" t="s">
        <v>19</v>
      </c>
      <c r="C3853" s="8"/>
      <c r="D3853" s="8"/>
      <c r="E3853" s="8"/>
      <c r="F3853" s="23">
        <f>SUM(F3847:F3852)</f>
        <v>650000</v>
      </c>
    </row>
    <row r="3854" spans="2:6" ht="17" thickBot="1">
      <c r="B3854" s="8"/>
      <c r="C3854" s="8"/>
      <c r="D3854" s="8"/>
      <c r="E3854" s="8"/>
    </row>
    <row r="3855" spans="2:6" ht="15" thickTop="1" thickBot="1">
      <c r="B3855" s="16" t="s">
        <v>20</v>
      </c>
      <c r="C3855" s="17" t="s">
        <v>14</v>
      </c>
      <c r="D3855" s="17" t="s">
        <v>15</v>
      </c>
      <c r="E3855" s="17" t="s">
        <v>16</v>
      </c>
      <c r="F3855" s="18" t="s">
        <v>17</v>
      </c>
    </row>
    <row r="3856" spans="2:6" ht="17" thickTop="1">
      <c r="B3856" s="8"/>
      <c r="C3856" s="8"/>
      <c r="D3856" s="8"/>
      <c r="E3856" s="8"/>
    </row>
    <row r="3857" spans="2:6">
      <c r="B3857" s="24" t="s">
        <v>21</v>
      </c>
      <c r="C3857" s="20" t="s">
        <v>22</v>
      </c>
      <c r="D3857" s="20">
        <v>4.3999999999999997E-2</v>
      </c>
      <c r="E3857" s="22">
        <v>27500</v>
      </c>
      <c r="F3857" s="25">
        <f>E3857*D3857</f>
        <v>1210</v>
      </c>
    </row>
    <row r="3858" spans="2:6">
      <c r="B3858" s="20" t="s">
        <v>23</v>
      </c>
      <c r="C3858" s="20" t="s">
        <v>22</v>
      </c>
      <c r="D3858" s="20">
        <v>4.3999999999999997E-2</v>
      </c>
      <c r="E3858" s="22">
        <v>15000</v>
      </c>
      <c r="F3858" s="25">
        <f>E3858*D3858</f>
        <v>660</v>
      </c>
    </row>
    <row r="3859" spans="2:6">
      <c r="B3859" s="20" t="s">
        <v>23</v>
      </c>
      <c r="C3859" s="20" t="s">
        <v>22</v>
      </c>
      <c r="D3859" s="20">
        <v>4.3999999999999997E-2</v>
      </c>
      <c r="E3859" s="22">
        <v>15000</v>
      </c>
      <c r="F3859" s="25">
        <f>E3859*D3859</f>
        <v>660</v>
      </c>
    </row>
    <row r="3860" spans="2:6" ht="16">
      <c r="B3860" s="26"/>
      <c r="C3860" s="26"/>
      <c r="D3860" s="26"/>
      <c r="E3860" s="26"/>
      <c r="F3860" s="25">
        <f>E3860*D3860</f>
        <v>0</v>
      </c>
    </row>
    <row r="3861" spans="2:6" ht="16">
      <c r="B3861" s="27" t="s">
        <v>25</v>
      </c>
      <c r="C3861" s="27" t="s">
        <v>26</v>
      </c>
      <c r="D3861" s="28">
        <v>0.32</v>
      </c>
      <c r="E3861" s="29">
        <f>SUM(E3857:E3860)*D3861</f>
        <v>18400</v>
      </c>
      <c r="F3861" s="25">
        <f>E3861*D3861</f>
        <v>5888</v>
      </c>
    </row>
    <row r="3862" spans="2:6" ht="16">
      <c r="B3862" s="8"/>
      <c r="C3862" s="8"/>
      <c r="D3862" s="8"/>
      <c r="E3862" s="8"/>
    </row>
    <row r="3863" spans="2:6" ht="17" thickBot="1">
      <c r="B3863" s="6" t="s">
        <v>27</v>
      </c>
      <c r="C3863" s="8"/>
      <c r="D3863" s="8"/>
      <c r="E3863" s="8"/>
      <c r="F3863" s="23">
        <f>SUM(F3857:F3862)</f>
        <v>8418</v>
      </c>
    </row>
    <row r="3864" spans="2:6" ht="17" thickBot="1">
      <c r="B3864" s="8"/>
      <c r="C3864" s="8"/>
      <c r="D3864" s="8"/>
      <c r="E3864" s="8"/>
    </row>
    <row r="3865" spans="2:6" ht="15" thickTop="1" thickBot="1">
      <c r="B3865" s="16" t="s">
        <v>28</v>
      </c>
      <c r="C3865" s="17" t="s">
        <v>14</v>
      </c>
      <c r="D3865" s="17" t="s">
        <v>15</v>
      </c>
      <c r="E3865" s="17" t="s">
        <v>16</v>
      </c>
      <c r="F3865" s="18" t="s">
        <v>17</v>
      </c>
    </row>
    <row r="3866" spans="2:6" ht="17" thickTop="1">
      <c r="B3866" s="8"/>
      <c r="C3866" s="8"/>
      <c r="D3866" s="8"/>
      <c r="E3866" s="8"/>
    </row>
    <row r="3867" spans="2:6">
      <c r="B3867" s="20" t="s">
        <v>82</v>
      </c>
      <c r="C3867" s="20" t="s">
        <v>56</v>
      </c>
      <c r="D3867" s="20">
        <v>2.5000000000000001E-2</v>
      </c>
      <c r="E3867" s="22">
        <v>25000</v>
      </c>
      <c r="F3867" s="25">
        <f>E3867*D3867</f>
        <v>625</v>
      </c>
    </row>
    <row r="3868" spans="2:6">
      <c r="B3868" s="20" t="s">
        <v>31</v>
      </c>
      <c r="C3868" s="20" t="s">
        <v>32</v>
      </c>
      <c r="D3868" s="71">
        <v>1E-3</v>
      </c>
      <c r="E3868" s="22">
        <v>25000</v>
      </c>
      <c r="F3868" s="25">
        <f>E3868*D3868</f>
        <v>25</v>
      </c>
    </row>
    <row r="3869" spans="2:6">
      <c r="B3869" s="20" t="s">
        <v>253</v>
      </c>
      <c r="C3869" s="20" t="s">
        <v>32</v>
      </c>
      <c r="D3869" s="71">
        <v>1E-3</v>
      </c>
      <c r="E3869" s="22">
        <v>190000</v>
      </c>
      <c r="F3869" s="25">
        <f>E3869*D3869</f>
        <v>190</v>
      </c>
    </row>
    <row r="3870" spans="2:6" ht="16">
      <c r="B3870" s="26"/>
      <c r="C3870" s="26"/>
      <c r="D3870" s="26"/>
      <c r="E3870" s="26"/>
      <c r="F3870" s="25">
        <f>E3870*D3870</f>
        <v>0</v>
      </c>
    </row>
    <row r="3871" spans="2:6" ht="16">
      <c r="B3871" s="30"/>
      <c r="C3871" s="26"/>
      <c r="D3871" s="26"/>
      <c r="E3871" s="26"/>
      <c r="F3871" s="25">
        <f>E3871*D3871</f>
        <v>0</v>
      </c>
    </row>
    <row r="3872" spans="2:6" ht="16">
      <c r="B3872" s="8"/>
      <c r="C3872" s="8"/>
      <c r="D3872" s="8"/>
      <c r="E3872" s="8"/>
    </row>
    <row r="3873" spans="2:6" ht="14" thickBot="1">
      <c r="B3873" s="19" t="s">
        <v>33</v>
      </c>
      <c r="C3873" s="19"/>
      <c r="D3873" s="19"/>
      <c r="E3873" s="19"/>
      <c r="F3873" s="23">
        <f>SUM(F3867:F3872)</f>
        <v>840</v>
      </c>
    </row>
    <row r="3874" spans="2:6" ht="16">
      <c r="B3874" s="8"/>
      <c r="C3874" s="8"/>
      <c r="D3874" s="8"/>
      <c r="E3874" s="8"/>
    </row>
    <row r="3875" spans="2:6" ht="17" thickBot="1">
      <c r="B3875" s="8"/>
      <c r="C3875" s="8"/>
      <c r="D3875" s="8"/>
      <c r="E3875" s="8"/>
    </row>
    <row r="3876" spans="2:6" ht="17" thickBot="1">
      <c r="B3876" s="31" t="s">
        <v>34</v>
      </c>
      <c r="C3876" s="13"/>
      <c r="D3876" s="13"/>
      <c r="E3876" s="13"/>
      <c r="F3876" s="32">
        <f>F3853+F3863+F3873</f>
        <v>659258</v>
      </c>
    </row>
    <row r="3877" spans="2:6" ht="17" thickBot="1">
      <c r="B3877" s="31" t="s">
        <v>35</v>
      </c>
      <c r="C3877" s="13"/>
      <c r="D3877" s="13"/>
      <c r="E3877" s="33">
        <v>0.1</v>
      </c>
      <c r="F3877" s="32">
        <f>F3876*E3877</f>
        <v>65925.8</v>
      </c>
    </row>
    <row r="3878" spans="2:6" ht="17" thickBot="1">
      <c r="B3878" s="31" t="s">
        <v>36</v>
      </c>
      <c r="C3878" s="13"/>
      <c r="D3878" s="13"/>
      <c r="E3878" s="72">
        <f>E3649</f>
        <v>0.1</v>
      </c>
      <c r="F3878" s="32">
        <f>F3876*E3878</f>
        <v>65925.8</v>
      </c>
    </row>
    <row r="3879" spans="2:6" ht="17" thickBot="1">
      <c r="B3879" s="34" t="s">
        <v>37</v>
      </c>
      <c r="C3879" s="35"/>
      <c r="D3879" s="35"/>
      <c r="E3879" s="35"/>
      <c r="F3879" s="32">
        <f>SUM(F3876:F3878)</f>
        <v>791109.60000000009</v>
      </c>
    </row>
    <row r="3880" spans="2:6" ht="17" thickBot="1">
      <c r="B3880" s="36"/>
      <c r="C3880" s="8"/>
      <c r="D3880" s="8"/>
      <c r="E3880" s="8"/>
    </row>
    <row r="3881" spans="2:6" ht="18" thickTop="1" thickBot="1">
      <c r="B3881" s="37" t="s">
        <v>38</v>
      </c>
      <c r="C3881" s="8"/>
      <c r="D3881" s="8"/>
      <c r="E3881" s="8"/>
    </row>
    <row r="3882" spans="2:6" ht="18" thickTop="1" thickBot="1">
      <c r="B3882" s="8"/>
      <c r="C3882" s="8"/>
      <c r="D3882" s="8"/>
      <c r="E3882" s="8"/>
    </row>
    <row r="3883" spans="2:6" ht="17" thickTop="1">
      <c r="B3883" s="38"/>
      <c r="C3883" s="13"/>
      <c r="D3883" s="13"/>
      <c r="E3883" s="39"/>
      <c r="F3883" s="40"/>
    </row>
    <row r="3884" spans="2:6" ht="16">
      <c r="B3884" s="38"/>
      <c r="C3884" s="13"/>
      <c r="D3884" s="13"/>
      <c r="E3884" s="41"/>
      <c r="F3884" s="42"/>
    </row>
    <row r="3885" spans="2:6" ht="16">
      <c r="B3885" s="38"/>
      <c r="C3885" s="13"/>
      <c r="D3885" s="13"/>
      <c r="E3885" s="41"/>
      <c r="F3885" s="42"/>
    </row>
    <row r="3886" spans="2:6" ht="17" thickBot="1">
      <c r="B3886" s="54"/>
      <c r="C3886" s="35"/>
      <c r="D3886" s="35"/>
      <c r="E3886" s="44"/>
      <c r="F3886" s="45"/>
    </row>
    <row r="3887" spans="2:6" ht="17" thickTop="1">
      <c r="B3887" s="46"/>
      <c r="C3887" s="46"/>
      <c r="D3887" s="46"/>
      <c r="E3887" s="47"/>
      <c r="F3887" s="47"/>
    </row>
    <row r="3888" spans="2:6" ht="14" thickBot="1">
      <c r="B3888" s="1" t="s">
        <v>0</v>
      </c>
      <c r="C3888" s="1"/>
    </row>
    <row r="3889" spans="2:6" ht="17" thickBot="1">
      <c r="B3889" s="1" t="s">
        <v>1</v>
      </c>
      <c r="C3889" s="1"/>
      <c r="E3889" s="4" t="s">
        <v>2</v>
      </c>
      <c r="F3889" s="5"/>
    </row>
    <row r="3890" spans="2:6">
      <c r="B3890" s="6"/>
    </row>
    <row r="3891" spans="2:6" ht="16">
      <c r="B3891" s="7" t="s">
        <v>3</v>
      </c>
      <c r="C3891" s="7"/>
      <c r="D3891" s="7"/>
      <c r="E3891" s="7"/>
      <c r="F3891" s="7"/>
    </row>
    <row r="3892" spans="2:6" ht="16">
      <c r="B3892" s="8"/>
      <c r="C3892" s="8"/>
      <c r="D3892" s="8"/>
      <c r="E3892" s="8"/>
    </row>
    <row r="3893" spans="2:6" ht="19" customHeight="1">
      <c r="B3893" s="9" t="s">
        <v>4</v>
      </c>
      <c r="C3893" s="10" t="str">
        <f>C3836</f>
        <v>MEJORAMIENTO ESPACIO PUBLICO JJVV LUCILA GODOY ALCAYAGA</v>
      </c>
      <c r="D3893" s="10"/>
      <c r="E3893" s="10"/>
      <c r="F3893" s="11"/>
    </row>
    <row r="3894" spans="2:6" ht="16">
      <c r="B3894" s="12"/>
      <c r="C3894" s="8"/>
      <c r="D3894" s="8"/>
      <c r="E3894" s="8"/>
    </row>
    <row r="3895" spans="2:6" ht="16">
      <c r="B3895" s="9" t="s">
        <v>5</v>
      </c>
      <c r="C3895" s="13" t="s">
        <v>6</v>
      </c>
      <c r="D3895" s="13"/>
      <c r="E3895" s="13"/>
      <c r="F3895" s="14"/>
    </row>
    <row r="3896" spans="2:6" ht="16">
      <c r="B3896" s="9"/>
      <c r="C3896" s="13"/>
      <c r="D3896" s="13"/>
      <c r="E3896" s="13"/>
      <c r="F3896" s="14"/>
    </row>
    <row r="3897" spans="2:6" ht="16">
      <c r="B3897" s="9" t="s">
        <v>7</v>
      </c>
      <c r="C3897" s="13" t="str">
        <f>[1]LGA!A92</f>
        <v>6.2</v>
      </c>
      <c r="D3897" s="13"/>
      <c r="E3897" s="13"/>
      <c r="F3897" s="14"/>
    </row>
    <row r="3898" spans="2:6" ht="16">
      <c r="B3898" s="9" t="s">
        <v>8</v>
      </c>
      <c r="C3898" s="13" t="s">
        <v>254</v>
      </c>
      <c r="D3898" s="13"/>
      <c r="E3898" s="13"/>
      <c r="F3898" s="14"/>
    </row>
    <row r="3899" spans="2:6" ht="16">
      <c r="B3899" s="9" t="s">
        <v>10</v>
      </c>
      <c r="C3899" s="13" t="s">
        <v>179</v>
      </c>
      <c r="D3899" s="13"/>
      <c r="E3899" s="13"/>
      <c r="F3899" s="14"/>
    </row>
    <row r="3900" spans="2:6" ht="16">
      <c r="B3900" s="9" t="s">
        <v>12</v>
      </c>
      <c r="C3900" s="15">
        <f>C3843</f>
        <v>46024</v>
      </c>
      <c r="D3900" s="13"/>
      <c r="E3900" s="13"/>
      <c r="F3900" s="14"/>
    </row>
    <row r="3901" spans="2:6" ht="17" thickBot="1">
      <c r="B3901" s="8"/>
      <c r="C3901" s="8"/>
      <c r="D3901" s="8"/>
      <c r="E3901" s="8"/>
    </row>
    <row r="3902" spans="2:6" ht="15" thickTop="1" thickBot="1">
      <c r="B3902" s="16" t="s">
        <v>13</v>
      </c>
      <c r="C3902" s="17" t="s">
        <v>14</v>
      </c>
      <c r="D3902" s="17" t="s">
        <v>15</v>
      </c>
      <c r="E3902" s="17" t="s">
        <v>16</v>
      </c>
      <c r="F3902" s="18" t="s">
        <v>17</v>
      </c>
    </row>
    <row r="3903" spans="2:6" ht="14" thickTop="1">
      <c r="B3903" s="19"/>
      <c r="C3903" s="19"/>
      <c r="D3903" s="19"/>
      <c r="E3903" s="19"/>
      <c r="F3903" s="19"/>
    </row>
    <row r="3904" spans="2:6">
      <c r="B3904" s="20" t="s">
        <v>254</v>
      </c>
      <c r="C3904" s="21" t="s">
        <v>56</v>
      </c>
      <c r="D3904" s="21">
        <v>1</v>
      </c>
      <c r="E3904" s="22">
        <v>350000</v>
      </c>
      <c r="F3904" s="22">
        <f t="shared" ref="F3904:F3909" si="65">E3904*D3904</f>
        <v>350000</v>
      </c>
    </row>
    <row r="3905" spans="2:6">
      <c r="B3905" s="20"/>
      <c r="C3905" s="21"/>
      <c r="D3905" s="21"/>
      <c r="E3905" s="22"/>
      <c r="F3905" s="22">
        <f t="shared" si="65"/>
        <v>0</v>
      </c>
    </row>
    <row r="3906" spans="2:6">
      <c r="B3906" s="20"/>
      <c r="C3906" s="21"/>
      <c r="D3906" s="21"/>
      <c r="E3906" s="22"/>
      <c r="F3906" s="22">
        <f t="shared" si="65"/>
        <v>0</v>
      </c>
    </row>
    <row r="3907" spans="2:6">
      <c r="B3907" s="20"/>
      <c r="C3907" s="21"/>
      <c r="D3907" s="21"/>
      <c r="E3907" s="22"/>
      <c r="F3907" s="22">
        <f t="shared" si="65"/>
        <v>0</v>
      </c>
    </row>
    <row r="3908" spans="2:6">
      <c r="B3908" s="20"/>
      <c r="C3908" s="21"/>
      <c r="D3908" s="21"/>
      <c r="E3908" s="22"/>
      <c r="F3908" s="22">
        <f t="shared" si="65"/>
        <v>0</v>
      </c>
    </row>
    <row r="3909" spans="2:6">
      <c r="B3909" s="20"/>
      <c r="C3909" s="21"/>
      <c r="D3909" s="21"/>
      <c r="E3909" s="22"/>
      <c r="F3909" s="22">
        <f t="shared" si="65"/>
        <v>0</v>
      </c>
    </row>
    <row r="3910" spans="2:6" ht="17" thickBot="1">
      <c r="B3910" s="6" t="s">
        <v>19</v>
      </c>
      <c r="C3910" s="8"/>
      <c r="D3910" s="8"/>
      <c r="E3910" s="8"/>
      <c r="F3910" s="23">
        <f>SUM(F3904:F3909)</f>
        <v>350000</v>
      </c>
    </row>
    <row r="3911" spans="2:6" ht="17" thickBot="1">
      <c r="B3911" s="8"/>
      <c r="C3911" s="8"/>
      <c r="D3911" s="8"/>
      <c r="E3911" s="8"/>
    </row>
    <row r="3912" spans="2:6" ht="15" thickTop="1" thickBot="1">
      <c r="B3912" s="16" t="s">
        <v>20</v>
      </c>
      <c r="C3912" s="17" t="s">
        <v>14</v>
      </c>
      <c r="D3912" s="17" t="s">
        <v>15</v>
      </c>
      <c r="E3912" s="17" t="s">
        <v>16</v>
      </c>
      <c r="F3912" s="18" t="s">
        <v>17</v>
      </c>
    </row>
    <row r="3913" spans="2:6" ht="17" thickTop="1">
      <c r="B3913" s="8"/>
      <c r="C3913" s="8"/>
      <c r="D3913" s="8"/>
      <c r="E3913" s="8"/>
    </row>
    <row r="3914" spans="2:6">
      <c r="B3914" s="24" t="s">
        <v>21</v>
      </c>
      <c r="C3914" s="20" t="s">
        <v>22</v>
      </c>
      <c r="D3914" s="20">
        <v>4.3999999999999997E-2</v>
      </c>
      <c r="E3914" s="22">
        <v>27500</v>
      </c>
      <c r="F3914" s="25">
        <f>E3914*D3914</f>
        <v>1210</v>
      </c>
    </row>
    <row r="3915" spans="2:6">
      <c r="B3915" s="20" t="s">
        <v>23</v>
      </c>
      <c r="C3915" s="20" t="s">
        <v>22</v>
      </c>
      <c r="D3915" s="20">
        <v>4.3999999999999997E-2</v>
      </c>
      <c r="E3915" s="22">
        <v>15000</v>
      </c>
      <c r="F3915" s="25">
        <f>E3915*D3915</f>
        <v>660</v>
      </c>
    </row>
    <row r="3916" spans="2:6">
      <c r="B3916" s="20" t="s">
        <v>23</v>
      </c>
      <c r="C3916" s="20" t="s">
        <v>22</v>
      </c>
      <c r="D3916" s="20">
        <v>4.3999999999999997E-2</v>
      </c>
      <c r="E3916" s="22">
        <v>15000</v>
      </c>
      <c r="F3916" s="25">
        <f>E3916*D3916</f>
        <v>660</v>
      </c>
    </row>
    <row r="3917" spans="2:6" ht="16">
      <c r="B3917" s="26"/>
      <c r="C3917" s="26"/>
      <c r="D3917" s="26"/>
      <c r="E3917" s="26"/>
      <c r="F3917" s="25">
        <f>E3917*D3917</f>
        <v>0</v>
      </c>
    </row>
    <row r="3918" spans="2:6" ht="16">
      <c r="B3918" s="27" t="s">
        <v>25</v>
      </c>
      <c r="C3918" s="27" t="s">
        <v>26</v>
      </c>
      <c r="D3918" s="28">
        <v>0.32</v>
      </c>
      <c r="E3918" s="29">
        <f>SUM(E3914:E3917)*D3918</f>
        <v>18400</v>
      </c>
      <c r="F3918" s="25">
        <f>E3918*D3918</f>
        <v>5888</v>
      </c>
    </row>
    <row r="3919" spans="2:6" ht="16">
      <c r="B3919" s="8"/>
      <c r="C3919" s="8"/>
      <c r="D3919" s="8"/>
      <c r="E3919" s="8"/>
    </row>
    <row r="3920" spans="2:6" ht="17" thickBot="1">
      <c r="B3920" s="6" t="s">
        <v>27</v>
      </c>
      <c r="C3920" s="8"/>
      <c r="D3920" s="8"/>
      <c r="E3920" s="8"/>
      <c r="F3920" s="23">
        <f>SUM(F3914:F3919)</f>
        <v>8418</v>
      </c>
    </row>
    <row r="3921" spans="2:6" ht="17" thickBot="1">
      <c r="B3921" s="8"/>
      <c r="C3921" s="8"/>
      <c r="D3921" s="8"/>
      <c r="E3921" s="8"/>
    </row>
    <row r="3922" spans="2:6" ht="15" thickTop="1" thickBot="1">
      <c r="B3922" s="16" t="s">
        <v>28</v>
      </c>
      <c r="C3922" s="17" t="s">
        <v>14</v>
      </c>
      <c r="D3922" s="17" t="s">
        <v>15</v>
      </c>
      <c r="E3922" s="17" t="s">
        <v>16</v>
      </c>
      <c r="F3922" s="18" t="s">
        <v>17</v>
      </c>
    </row>
    <row r="3923" spans="2:6" ht="17" thickTop="1">
      <c r="B3923" s="8"/>
      <c r="C3923" s="8"/>
      <c r="D3923" s="8"/>
      <c r="E3923" s="8"/>
    </row>
    <row r="3924" spans="2:6">
      <c r="B3924" s="20" t="s">
        <v>82</v>
      </c>
      <c r="C3924" s="20" t="s">
        <v>56</v>
      </c>
      <c r="D3924" s="20">
        <v>2.5000000000000001E-2</v>
      </c>
      <c r="E3924" s="22">
        <v>25000</v>
      </c>
      <c r="F3924" s="25">
        <f>E3924*D3924</f>
        <v>625</v>
      </c>
    </row>
    <row r="3925" spans="2:6">
      <c r="B3925" s="20" t="s">
        <v>31</v>
      </c>
      <c r="C3925" s="20" t="s">
        <v>32</v>
      </c>
      <c r="D3925" s="71">
        <v>1E-3</v>
      </c>
      <c r="E3925" s="22">
        <v>25000</v>
      </c>
      <c r="F3925" s="25">
        <f>E3925*D3925</f>
        <v>25</v>
      </c>
    </row>
    <row r="3926" spans="2:6">
      <c r="B3926" s="20" t="s">
        <v>253</v>
      </c>
      <c r="C3926" s="20" t="s">
        <v>32</v>
      </c>
      <c r="D3926" s="71">
        <v>1E-3</v>
      </c>
      <c r="E3926" s="22">
        <v>190000</v>
      </c>
      <c r="F3926" s="25">
        <f>E3926*D3926</f>
        <v>190</v>
      </c>
    </row>
    <row r="3927" spans="2:6" ht="16">
      <c r="B3927" s="26"/>
      <c r="C3927" s="26"/>
      <c r="D3927" s="26"/>
      <c r="E3927" s="26"/>
      <c r="F3927" s="25">
        <f>E3927*D3927</f>
        <v>0</v>
      </c>
    </row>
    <row r="3928" spans="2:6" ht="16">
      <c r="B3928" s="30"/>
      <c r="C3928" s="26"/>
      <c r="D3928" s="26"/>
      <c r="E3928" s="26"/>
      <c r="F3928" s="25">
        <f>E3928*D3928</f>
        <v>0</v>
      </c>
    </row>
    <row r="3929" spans="2:6" ht="16">
      <c r="B3929" s="8"/>
      <c r="C3929" s="8"/>
      <c r="D3929" s="8"/>
      <c r="E3929" s="8"/>
    </row>
    <row r="3930" spans="2:6" ht="14" thickBot="1">
      <c r="B3930" s="19" t="s">
        <v>33</v>
      </c>
      <c r="C3930" s="19"/>
      <c r="D3930" s="19"/>
      <c r="E3930" s="19"/>
      <c r="F3930" s="23">
        <f>SUM(F3924:F3929)</f>
        <v>840</v>
      </c>
    </row>
    <row r="3931" spans="2:6" ht="16">
      <c r="B3931" s="8"/>
      <c r="C3931" s="8"/>
      <c r="D3931" s="8"/>
      <c r="E3931" s="8"/>
    </row>
    <row r="3932" spans="2:6" ht="17" thickBot="1">
      <c r="B3932" s="8"/>
      <c r="C3932" s="8"/>
      <c r="D3932" s="8"/>
      <c r="E3932" s="8"/>
    </row>
    <row r="3933" spans="2:6" ht="17" thickBot="1">
      <c r="B3933" s="31" t="s">
        <v>34</v>
      </c>
      <c r="C3933" s="13"/>
      <c r="D3933" s="13"/>
      <c r="E3933" s="13"/>
      <c r="F3933" s="32">
        <f>F3910+F3920+F3930</f>
        <v>359258</v>
      </c>
    </row>
    <row r="3934" spans="2:6" ht="17" thickBot="1">
      <c r="B3934" s="31" t="s">
        <v>35</v>
      </c>
      <c r="C3934" s="13"/>
      <c r="D3934" s="13"/>
      <c r="E3934" s="33">
        <v>0.1</v>
      </c>
      <c r="F3934" s="32">
        <f>F3933*E3934</f>
        <v>35925.800000000003</v>
      </c>
    </row>
    <row r="3935" spans="2:6" ht="17" thickBot="1">
      <c r="B3935" s="31" t="s">
        <v>36</v>
      </c>
      <c r="C3935" s="13"/>
      <c r="D3935" s="13"/>
      <c r="E3935" s="72">
        <f>E3706</f>
        <v>0.1</v>
      </c>
      <c r="F3935" s="32">
        <f>F3933*E3935</f>
        <v>35925.800000000003</v>
      </c>
    </row>
    <row r="3936" spans="2:6" ht="17" thickBot="1">
      <c r="B3936" s="34" t="s">
        <v>37</v>
      </c>
      <c r="C3936" s="35"/>
      <c r="D3936" s="35"/>
      <c r="E3936" s="35"/>
      <c r="F3936" s="32">
        <f>SUM(F3933:F3935)</f>
        <v>431109.6</v>
      </c>
    </row>
    <row r="3937" spans="2:6" ht="17" thickBot="1">
      <c r="B3937" s="36"/>
      <c r="C3937" s="8"/>
      <c r="D3937" s="8"/>
      <c r="E3937" s="8"/>
    </row>
    <row r="3938" spans="2:6" ht="18" thickTop="1" thickBot="1">
      <c r="B3938" s="37" t="s">
        <v>38</v>
      </c>
      <c r="C3938" s="8"/>
      <c r="D3938" s="8"/>
      <c r="E3938" s="8"/>
    </row>
    <row r="3939" spans="2:6" ht="18" thickTop="1" thickBot="1">
      <c r="B3939" s="8"/>
      <c r="C3939" s="8"/>
      <c r="D3939" s="8"/>
      <c r="E3939" s="8"/>
    </row>
    <row r="3940" spans="2:6" ht="17" thickTop="1">
      <c r="B3940" s="38"/>
      <c r="C3940" s="13"/>
      <c r="D3940" s="13"/>
      <c r="E3940" s="39"/>
      <c r="F3940" s="40"/>
    </row>
    <row r="3941" spans="2:6" ht="16">
      <c r="B3941" s="38"/>
      <c r="C3941" s="13"/>
      <c r="D3941" s="13"/>
      <c r="E3941" s="41"/>
      <c r="F3941" s="42"/>
    </row>
    <row r="3942" spans="2:6" ht="16">
      <c r="B3942" s="38"/>
      <c r="C3942" s="13"/>
      <c r="D3942" s="13"/>
      <c r="E3942" s="41"/>
      <c r="F3942" s="42"/>
    </row>
    <row r="3943" spans="2:6" ht="17" thickBot="1">
      <c r="B3943" s="54"/>
      <c r="C3943" s="35"/>
      <c r="D3943" s="35"/>
      <c r="E3943" s="44"/>
      <c r="F3943" s="45"/>
    </row>
    <row r="3944" spans="2:6" ht="17" thickTop="1">
      <c r="B3944" s="46"/>
      <c r="C3944" s="46"/>
      <c r="D3944" s="46"/>
      <c r="E3944" s="47"/>
      <c r="F3944" s="47"/>
    </row>
    <row r="3945" spans="2:6" ht="14" thickBot="1">
      <c r="B3945" s="1" t="s">
        <v>0</v>
      </c>
      <c r="C3945" s="1"/>
    </row>
    <row r="3946" spans="2:6" ht="17" thickBot="1">
      <c r="B3946" s="1" t="s">
        <v>1</v>
      </c>
      <c r="C3946" s="1"/>
      <c r="E3946" s="4" t="s">
        <v>2</v>
      </c>
      <c r="F3946" s="5"/>
    </row>
    <row r="3947" spans="2:6">
      <c r="B3947" s="6"/>
    </row>
    <row r="3948" spans="2:6" ht="16">
      <c r="B3948" s="7" t="s">
        <v>3</v>
      </c>
      <c r="C3948" s="7"/>
      <c r="D3948" s="7"/>
      <c r="E3948" s="7"/>
      <c r="F3948" s="7"/>
    </row>
    <row r="3949" spans="2:6" ht="16">
      <c r="B3949" s="8"/>
      <c r="C3949" s="8"/>
      <c r="D3949" s="8"/>
      <c r="E3949" s="8"/>
    </row>
    <row r="3950" spans="2:6" ht="19" customHeight="1">
      <c r="B3950" s="9" t="s">
        <v>4</v>
      </c>
      <c r="C3950" s="10" t="str">
        <f>C3893</f>
        <v>MEJORAMIENTO ESPACIO PUBLICO JJVV LUCILA GODOY ALCAYAGA</v>
      </c>
      <c r="D3950" s="10"/>
      <c r="E3950" s="10"/>
      <c r="F3950" s="11"/>
    </row>
    <row r="3951" spans="2:6" ht="16">
      <c r="B3951" s="12"/>
      <c r="C3951" s="8"/>
      <c r="D3951" s="8"/>
      <c r="E3951" s="8"/>
    </row>
    <row r="3952" spans="2:6" ht="16">
      <c r="B3952" s="9" t="s">
        <v>5</v>
      </c>
      <c r="C3952" s="13" t="s">
        <v>6</v>
      </c>
      <c r="D3952" s="13"/>
      <c r="E3952" s="13"/>
      <c r="F3952" s="14"/>
    </row>
    <row r="3953" spans="2:6" ht="16">
      <c r="B3953" s="9"/>
      <c r="C3953" s="13"/>
      <c r="D3953" s="13"/>
      <c r="E3953" s="13"/>
      <c r="F3953" s="14"/>
    </row>
    <row r="3954" spans="2:6" ht="16">
      <c r="B3954" s="9" t="s">
        <v>7</v>
      </c>
      <c r="C3954" s="13" t="str">
        <f>[1]LGA!A93</f>
        <v>6.3</v>
      </c>
      <c r="D3954" s="13"/>
      <c r="E3954" s="13"/>
      <c r="F3954" s="14"/>
    </row>
    <row r="3955" spans="2:6" ht="16">
      <c r="B3955" s="9" t="s">
        <v>8</v>
      </c>
      <c r="C3955" s="13" t="s">
        <v>255</v>
      </c>
      <c r="D3955" s="13"/>
      <c r="E3955" s="13"/>
      <c r="F3955" s="14"/>
    </row>
    <row r="3956" spans="2:6" ht="16">
      <c r="B3956" s="9" t="s">
        <v>10</v>
      </c>
      <c r="C3956" s="13" t="s">
        <v>179</v>
      </c>
      <c r="D3956" s="13"/>
      <c r="E3956" s="13"/>
      <c r="F3956" s="14"/>
    </row>
    <row r="3957" spans="2:6" ht="16">
      <c r="B3957" s="9" t="s">
        <v>12</v>
      </c>
      <c r="C3957" s="15">
        <f>C3900</f>
        <v>46024</v>
      </c>
      <c r="D3957" s="13"/>
      <c r="E3957" s="13"/>
      <c r="F3957" s="14"/>
    </row>
    <row r="3958" spans="2:6" ht="17" thickBot="1">
      <c r="B3958" s="8"/>
      <c r="C3958" s="8"/>
      <c r="D3958" s="8"/>
      <c r="E3958" s="8"/>
    </row>
    <row r="3959" spans="2:6" ht="15" thickTop="1" thickBot="1">
      <c r="B3959" s="16" t="s">
        <v>13</v>
      </c>
      <c r="C3959" s="17" t="s">
        <v>14</v>
      </c>
      <c r="D3959" s="17" t="s">
        <v>15</v>
      </c>
      <c r="E3959" s="17" t="s">
        <v>16</v>
      </c>
      <c r="F3959" s="18" t="s">
        <v>17</v>
      </c>
    </row>
    <row r="3960" spans="2:6" ht="14" thickTop="1">
      <c r="B3960" s="19"/>
      <c r="C3960" s="19"/>
      <c r="D3960" s="19"/>
      <c r="E3960" s="19"/>
      <c r="F3960" s="19"/>
    </row>
    <row r="3961" spans="2:6">
      <c r="B3961" s="20" t="s">
        <v>255</v>
      </c>
      <c r="C3961" s="21" t="s">
        <v>56</v>
      </c>
      <c r="D3961" s="21">
        <v>1</v>
      </c>
      <c r="E3961" s="22">
        <v>1100000</v>
      </c>
      <c r="F3961" s="22">
        <f t="shared" ref="F3961:F3966" si="66">E3961*D3961</f>
        <v>1100000</v>
      </c>
    </row>
    <row r="3962" spans="2:6">
      <c r="B3962" s="20"/>
      <c r="C3962" s="21"/>
      <c r="D3962" s="21"/>
      <c r="E3962" s="22"/>
      <c r="F3962" s="22">
        <f t="shared" si="66"/>
        <v>0</v>
      </c>
    </row>
    <row r="3963" spans="2:6">
      <c r="B3963" s="20"/>
      <c r="C3963" s="21"/>
      <c r="D3963" s="21"/>
      <c r="E3963" s="22"/>
      <c r="F3963" s="22">
        <f t="shared" si="66"/>
        <v>0</v>
      </c>
    </row>
    <row r="3964" spans="2:6">
      <c r="B3964" s="20"/>
      <c r="C3964" s="21"/>
      <c r="D3964" s="21"/>
      <c r="E3964" s="22"/>
      <c r="F3964" s="22">
        <f t="shared" si="66"/>
        <v>0</v>
      </c>
    </row>
    <row r="3965" spans="2:6">
      <c r="B3965" s="20"/>
      <c r="C3965" s="21"/>
      <c r="D3965" s="21"/>
      <c r="E3965" s="22"/>
      <c r="F3965" s="22">
        <f t="shared" si="66"/>
        <v>0</v>
      </c>
    </row>
    <row r="3966" spans="2:6">
      <c r="B3966" s="20"/>
      <c r="C3966" s="21"/>
      <c r="D3966" s="21"/>
      <c r="E3966" s="22"/>
      <c r="F3966" s="22">
        <f t="shared" si="66"/>
        <v>0</v>
      </c>
    </row>
    <row r="3967" spans="2:6" ht="17" thickBot="1">
      <c r="B3967" s="6" t="s">
        <v>19</v>
      </c>
      <c r="C3967" s="8"/>
      <c r="D3967" s="8"/>
      <c r="E3967" s="8"/>
      <c r="F3967" s="23">
        <f>SUM(F3961:F3966)</f>
        <v>1100000</v>
      </c>
    </row>
    <row r="3968" spans="2:6" ht="17" thickBot="1">
      <c r="B3968" s="8"/>
      <c r="C3968" s="8"/>
      <c r="D3968" s="8"/>
      <c r="E3968" s="8"/>
    </row>
    <row r="3969" spans="2:6" ht="15" thickTop="1" thickBot="1">
      <c r="B3969" s="16" t="s">
        <v>20</v>
      </c>
      <c r="C3969" s="17" t="s">
        <v>14</v>
      </c>
      <c r="D3969" s="17" t="s">
        <v>15</v>
      </c>
      <c r="E3969" s="17" t="s">
        <v>16</v>
      </c>
      <c r="F3969" s="18" t="s">
        <v>17</v>
      </c>
    </row>
    <row r="3970" spans="2:6" ht="17" thickTop="1">
      <c r="B3970" s="8"/>
      <c r="C3970" s="8"/>
      <c r="D3970" s="8"/>
      <c r="E3970" s="8"/>
    </row>
    <row r="3971" spans="2:6">
      <c r="B3971" s="24" t="s">
        <v>21</v>
      </c>
      <c r="C3971" s="20" t="s">
        <v>22</v>
      </c>
      <c r="D3971" s="20">
        <v>4.3999999999999997E-2</v>
      </c>
      <c r="E3971" s="22">
        <v>27500</v>
      </c>
      <c r="F3971" s="25">
        <f>E3971*D3971</f>
        <v>1210</v>
      </c>
    </row>
    <row r="3972" spans="2:6">
      <c r="B3972" s="20" t="s">
        <v>23</v>
      </c>
      <c r="C3972" s="20" t="s">
        <v>22</v>
      </c>
      <c r="D3972" s="20">
        <v>4.3999999999999997E-2</v>
      </c>
      <c r="E3972" s="22">
        <v>15000</v>
      </c>
      <c r="F3972" s="25">
        <f>E3972*D3972</f>
        <v>660</v>
      </c>
    </row>
    <row r="3973" spans="2:6">
      <c r="B3973" s="20" t="s">
        <v>23</v>
      </c>
      <c r="C3973" s="20" t="s">
        <v>22</v>
      </c>
      <c r="D3973" s="20">
        <v>4.3999999999999997E-2</v>
      </c>
      <c r="E3973" s="22">
        <v>15000</v>
      </c>
      <c r="F3973" s="25">
        <f>E3973*D3973</f>
        <v>660</v>
      </c>
    </row>
    <row r="3974" spans="2:6" ht="16">
      <c r="B3974" s="26"/>
      <c r="C3974" s="26"/>
      <c r="D3974" s="26"/>
      <c r="E3974" s="26"/>
      <c r="F3974" s="25">
        <f>E3974*D3974</f>
        <v>0</v>
      </c>
    </row>
    <row r="3975" spans="2:6" ht="16">
      <c r="B3975" s="27" t="s">
        <v>25</v>
      </c>
      <c r="C3975" s="27" t="s">
        <v>26</v>
      </c>
      <c r="D3975" s="28">
        <v>0.32</v>
      </c>
      <c r="E3975" s="29">
        <f>SUM(E3971:E3974)*D3975</f>
        <v>18400</v>
      </c>
      <c r="F3975" s="25">
        <f>E3975*D3975</f>
        <v>5888</v>
      </c>
    </row>
    <row r="3976" spans="2:6" ht="16">
      <c r="B3976" s="8"/>
      <c r="C3976" s="8"/>
      <c r="D3976" s="8"/>
      <c r="E3976" s="8"/>
    </row>
    <row r="3977" spans="2:6" ht="17" thickBot="1">
      <c r="B3977" s="6" t="s">
        <v>27</v>
      </c>
      <c r="C3977" s="8"/>
      <c r="D3977" s="8"/>
      <c r="E3977" s="8"/>
      <c r="F3977" s="23">
        <f>SUM(F3971:F3976)</f>
        <v>8418</v>
      </c>
    </row>
    <row r="3978" spans="2:6" ht="17" thickBot="1">
      <c r="B3978" s="8"/>
      <c r="C3978" s="8"/>
      <c r="D3978" s="8"/>
      <c r="E3978" s="8"/>
    </row>
    <row r="3979" spans="2:6" ht="15" thickTop="1" thickBot="1">
      <c r="B3979" s="16" t="s">
        <v>28</v>
      </c>
      <c r="C3979" s="17" t="s">
        <v>14</v>
      </c>
      <c r="D3979" s="17" t="s">
        <v>15</v>
      </c>
      <c r="E3979" s="17" t="s">
        <v>16</v>
      </c>
      <c r="F3979" s="18" t="s">
        <v>17</v>
      </c>
    </row>
    <row r="3980" spans="2:6" ht="17" thickTop="1">
      <c r="B3980" s="8"/>
      <c r="C3980" s="8"/>
      <c r="D3980" s="8"/>
      <c r="E3980" s="8"/>
    </row>
    <row r="3981" spans="2:6">
      <c r="B3981" s="20" t="s">
        <v>82</v>
      </c>
      <c r="C3981" s="20" t="s">
        <v>56</v>
      </c>
      <c r="D3981" s="20">
        <v>2.5000000000000001E-2</v>
      </c>
      <c r="E3981" s="22">
        <v>25000</v>
      </c>
      <c r="F3981" s="25">
        <f>E3981*D3981</f>
        <v>625</v>
      </c>
    </row>
    <row r="3982" spans="2:6">
      <c r="B3982" s="20" t="s">
        <v>31</v>
      </c>
      <c r="C3982" s="20" t="s">
        <v>32</v>
      </c>
      <c r="D3982" s="71">
        <v>1E-3</v>
      </c>
      <c r="E3982" s="22">
        <v>25000</v>
      </c>
      <c r="F3982" s="25">
        <f>E3982*D3982</f>
        <v>25</v>
      </c>
    </row>
    <row r="3983" spans="2:6">
      <c r="B3983" s="20" t="s">
        <v>253</v>
      </c>
      <c r="C3983" s="20" t="s">
        <v>32</v>
      </c>
      <c r="D3983" s="71">
        <v>1E-3</v>
      </c>
      <c r="E3983" s="22">
        <v>190000</v>
      </c>
      <c r="F3983" s="25">
        <f>E3983*D3983</f>
        <v>190</v>
      </c>
    </row>
    <row r="3984" spans="2:6" ht="16">
      <c r="B3984" s="26"/>
      <c r="C3984" s="26"/>
      <c r="D3984" s="26"/>
      <c r="E3984" s="26"/>
      <c r="F3984" s="25">
        <f>E3984*D3984</f>
        <v>0</v>
      </c>
    </row>
    <row r="3985" spans="2:6" ht="16">
      <c r="B3985" s="30"/>
      <c r="C3985" s="26"/>
      <c r="D3985" s="26"/>
      <c r="E3985" s="26"/>
      <c r="F3985" s="25">
        <f>E3985*D3985</f>
        <v>0</v>
      </c>
    </row>
    <row r="3986" spans="2:6" ht="16">
      <c r="B3986" s="8"/>
      <c r="C3986" s="8"/>
      <c r="D3986" s="8"/>
      <c r="E3986" s="8"/>
    </row>
    <row r="3987" spans="2:6" ht="14" thickBot="1">
      <c r="B3987" s="19" t="s">
        <v>33</v>
      </c>
      <c r="C3987" s="19"/>
      <c r="D3987" s="19"/>
      <c r="E3987" s="19"/>
      <c r="F3987" s="23">
        <f>SUM(F3981:F3986)</f>
        <v>840</v>
      </c>
    </row>
    <row r="3988" spans="2:6" ht="16">
      <c r="B3988" s="8"/>
      <c r="C3988" s="8"/>
      <c r="D3988" s="8"/>
      <c r="E3988" s="8"/>
    </row>
    <row r="3989" spans="2:6" ht="17" thickBot="1">
      <c r="B3989" s="8"/>
      <c r="C3989" s="8"/>
      <c r="D3989" s="8"/>
      <c r="E3989" s="8"/>
    </row>
    <row r="3990" spans="2:6" ht="17" thickBot="1">
      <c r="B3990" s="31" t="s">
        <v>34</v>
      </c>
      <c r="C3990" s="13"/>
      <c r="D3990" s="13"/>
      <c r="E3990" s="13"/>
      <c r="F3990" s="32">
        <f>F3967+F3977+F3987</f>
        <v>1109258</v>
      </c>
    </row>
    <row r="3991" spans="2:6" ht="17" thickBot="1">
      <c r="B3991" s="31" t="s">
        <v>35</v>
      </c>
      <c r="C3991" s="13"/>
      <c r="D3991" s="13"/>
      <c r="E3991" s="33">
        <v>0.1</v>
      </c>
      <c r="F3991" s="32">
        <f>F3990*E3991</f>
        <v>110925.8</v>
      </c>
    </row>
    <row r="3992" spans="2:6" ht="17" thickBot="1">
      <c r="B3992" s="31" t="s">
        <v>36</v>
      </c>
      <c r="C3992" s="13"/>
      <c r="D3992" s="13"/>
      <c r="E3992" s="72">
        <f>E3763</f>
        <v>0.1</v>
      </c>
      <c r="F3992" s="32">
        <f>F3990*E3992</f>
        <v>110925.8</v>
      </c>
    </row>
    <row r="3993" spans="2:6" ht="17" thickBot="1">
      <c r="B3993" s="34" t="s">
        <v>37</v>
      </c>
      <c r="C3993" s="35"/>
      <c r="D3993" s="35"/>
      <c r="E3993" s="35"/>
      <c r="F3993" s="32">
        <f>SUM(F3990:F3992)</f>
        <v>1331109.6000000001</v>
      </c>
    </row>
    <row r="3994" spans="2:6" ht="17" thickBot="1">
      <c r="B3994" s="36"/>
      <c r="C3994" s="8"/>
      <c r="D3994" s="8"/>
      <c r="E3994" s="8"/>
    </row>
    <row r="3995" spans="2:6" ht="18" thickTop="1" thickBot="1">
      <c r="B3995" s="37" t="s">
        <v>38</v>
      </c>
      <c r="C3995" s="8"/>
      <c r="D3995" s="8"/>
      <c r="E3995" s="8"/>
    </row>
    <row r="3996" spans="2:6" ht="18" thickTop="1" thickBot="1">
      <c r="B3996" s="8"/>
      <c r="C3996" s="8"/>
      <c r="D3996" s="8"/>
      <c r="E3996" s="8"/>
    </row>
    <row r="3997" spans="2:6" ht="17" thickTop="1">
      <c r="B3997" s="38"/>
      <c r="C3997" s="13"/>
      <c r="D3997" s="13"/>
      <c r="E3997" s="39"/>
      <c r="F3997" s="40"/>
    </row>
    <row r="3998" spans="2:6" ht="16">
      <c r="B3998" s="38"/>
      <c r="C3998" s="13"/>
      <c r="D3998" s="13"/>
      <c r="E3998" s="41"/>
      <c r="F3998" s="42"/>
    </row>
    <row r="3999" spans="2:6" ht="16">
      <c r="B3999" s="38"/>
      <c r="C3999" s="13"/>
      <c r="D3999" s="13"/>
      <c r="E3999" s="41"/>
      <c r="F3999" s="42"/>
    </row>
    <row r="4000" spans="2:6" ht="17" thickBot="1">
      <c r="B4000" s="54"/>
      <c r="C4000" s="35"/>
      <c r="D4000" s="35"/>
      <c r="E4000" s="44"/>
      <c r="F4000" s="45"/>
    </row>
    <row r="4001" spans="2:6" ht="17" thickTop="1">
      <c r="B4001" s="46"/>
      <c r="C4001" s="46"/>
      <c r="D4001" s="46"/>
      <c r="E4001" s="47"/>
      <c r="F4001" s="47"/>
    </row>
    <row r="4002" spans="2:6" ht="14" thickBot="1">
      <c r="B4002" s="1" t="s">
        <v>0</v>
      </c>
      <c r="C4002" s="1"/>
    </row>
    <row r="4003" spans="2:6" ht="17" thickBot="1">
      <c r="B4003" s="1" t="s">
        <v>1</v>
      </c>
      <c r="C4003" s="1"/>
      <c r="E4003" s="4" t="s">
        <v>2</v>
      </c>
      <c r="F4003" s="5"/>
    </row>
    <row r="4004" spans="2:6">
      <c r="B4004" s="6"/>
    </row>
    <row r="4005" spans="2:6" ht="16">
      <c r="B4005" s="7" t="s">
        <v>3</v>
      </c>
      <c r="C4005" s="7"/>
      <c r="D4005" s="7"/>
      <c r="E4005" s="7"/>
      <c r="F4005" s="7"/>
    </row>
    <row r="4006" spans="2:6" ht="16">
      <c r="B4006" s="8"/>
      <c r="C4006" s="8"/>
      <c r="D4006" s="8"/>
      <c r="E4006" s="8"/>
    </row>
    <row r="4007" spans="2:6" ht="21" customHeight="1">
      <c r="B4007" s="9" t="s">
        <v>4</v>
      </c>
      <c r="C4007" s="10" t="str">
        <f>C3950</f>
        <v>MEJORAMIENTO ESPACIO PUBLICO JJVV LUCILA GODOY ALCAYAGA</v>
      </c>
      <c r="D4007" s="10"/>
      <c r="E4007" s="10"/>
      <c r="F4007" s="11"/>
    </row>
    <row r="4008" spans="2:6" ht="16">
      <c r="B4008" s="12"/>
      <c r="C4008" s="8"/>
      <c r="D4008" s="8"/>
      <c r="E4008" s="8"/>
    </row>
    <row r="4009" spans="2:6" ht="16">
      <c r="B4009" s="9" t="s">
        <v>5</v>
      </c>
      <c r="C4009" s="13" t="s">
        <v>6</v>
      </c>
      <c r="D4009" s="13"/>
      <c r="E4009" s="13"/>
      <c r="F4009" s="14"/>
    </row>
    <row r="4010" spans="2:6" ht="16">
      <c r="B4010" s="9"/>
      <c r="C4010" s="13"/>
      <c r="D4010" s="13"/>
      <c r="E4010" s="13"/>
      <c r="F4010" s="14"/>
    </row>
    <row r="4011" spans="2:6" ht="16">
      <c r="B4011" s="9" t="s">
        <v>7</v>
      </c>
      <c r="C4011" s="13" t="str">
        <f>[1]LGA!A94</f>
        <v>6.4</v>
      </c>
      <c r="D4011" s="13"/>
      <c r="E4011" s="13"/>
      <c r="F4011" s="14"/>
    </row>
    <row r="4012" spans="2:6" ht="16">
      <c r="B4012" s="9" t="s">
        <v>8</v>
      </c>
      <c r="C4012" s="13" t="s">
        <v>256</v>
      </c>
      <c r="D4012" s="13"/>
      <c r="E4012" s="13"/>
      <c r="F4012" s="14"/>
    </row>
    <row r="4013" spans="2:6" ht="16">
      <c r="B4013" s="9" t="s">
        <v>10</v>
      </c>
      <c r="C4013" s="13" t="s">
        <v>179</v>
      </c>
      <c r="D4013" s="13"/>
      <c r="E4013" s="13"/>
      <c r="F4013" s="14"/>
    </row>
    <row r="4014" spans="2:6" ht="16">
      <c r="B4014" s="9" t="s">
        <v>12</v>
      </c>
      <c r="C4014" s="15">
        <f>C3957</f>
        <v>46024</v>
      </c>
      <c r="D4014" s="13"/>
      <c r="E4014" s="13"/>
      <c r="F4014" s="14"/>
    </row>
    <row r="4015" spans="2:6" ht="17" thickBot="1">
      <c r="B4015" s="8"/>
      <c r="C4015" s="8"/>
      <c r="D4015" s="8"/>
      <c r="E4015" s="8"/>
    </row>
    <row r="4016" spans="2:6" ht="15" thickTop="1" thickBot="1">
      <c r="B4016" s="16" t="s">
        <v>13</v>
      </c>
      <c r="C4016" s="17" t="s">
        <v>14</v>
      </c>
      <c r="D4016" s="17" t="s">
        <v>15</v>
      </c>
      <c r="E4016" s="17" t="s">
        <v>16</v>
      </c>
      <c r="F4016" s="18" t="s">
        <v>17</v>
      </c>
    </row>
    <row r="4017" spans="2:6" ht="14" thickTop="1">
      <c r="B4017" s="19"/>
      <c r="C4017" s="19"/>
      <c r="D4017" s="19"/>
      <c r="E4017" s="19"/>
      <c r="F4017" s="19"/>
    </row>
    <row r="4018" spans="2:6">
      <c r="B4018" s="20" t="str">
        <f>C4012</f>
        <v xml:space="preserve">Juego de Cuerdas </v>
      </c>
      <c r="C4018" s="21" t="s">
        <v>56</v>
      </c>
      <c r="D4018" s="21">
        <v>1</v>
      </c>
      <c r="E4018" s="22">
        <v>12700000</v>
      </c>
      <c r="F4018" s="22">
        <f t="shared" ref="F4018:F4023" si="67">E4018*D4018</f>
        <v>12700000</v>
      </c>
    </row>
    <row r="4019" spans="2:6">
      <c r="B4019" s="20"/>
      <c r="C4019" s="21"/>
      <c r="D4019" s="21"/>
      <c r="E4019" s="22"/>
      <c r="F4019" s="22">
        <f t="shared" si="67"/>
        <v>0</v>
      </c>
    </row>
    <row r="4020" spans="2:6">
      <c r="B4020" s="20"/>
      <c r="C4020" s="21"/>
      <c r="D4020" s="21"/>
      <c r="E4020" s="22"/>
      <c r="F4020" s="22">
        <f t="shared" si="67"/>
        <v>0</v>
      </c>
    </row>
    <row r="4021" spans="2:6">
      <c r="B4021" s="20"/>
      <c r="C4021" s="21"/>
      <c r="D4021" s="21"/>
      <c r="E4021" s="22"/>
      <c r="F4021" s="22">
        <f t="shared" si="67"/>
        <v>0</v>
      </c>
    </row>
    <row r="4022" spans="2:6">
      <c r="B4022" s="20"/>
      <c r="C4022" s="21"/>
      <c r="D4022" s="21"/>
      <c r="E4022" s="22"/>
      <c r="F4022" s="22">
        <f t="shared" si="67"/>
        <v>0</v>
      </c>
    </row>
    <row r="4023" spans="2:6">
      <c r="B4023" s="20"/>
      <c r="C4023" s="21"/>
      <c r="D4023" s="21"/>
      <c r="E4023" s="22"/>
      <c r="F4023" s="22">
        <f t="shared" si="67"/>
        <v>0</v>
      </c>
    </row>
    <row r="4024" spans="2:6" ht="17" thickBot="1">
      <c r="B4024" s="6" t="s">
        <v>19</v>
      </c>
      <c r="C4024" s="8"/>
      <c r="D4024" s="8"/>
      <c r="E4024" s="8"/>
      <c r="F4024" s="23">
        <f>SUM(F4018:F4023)</f>
        <v>12700000</v>
      </c>
    </row>
    <row r="4025" spans="2:6" ht="17" thickBot="1">
      <c r="B4025" s="8"/>
      <c r="C4025" s="8"/>
      <c r="D4025" s="8"/>
      <c r="E4025" s="8"/>
    </row>
    <row r="4026" spans="2:6" ht="15" thickTop="1" thickBot="1">
      <c r="B4026" s="16" t="s">
        <v>20</v>
      </c>
      <c r="C4026" s="17" t="s">
        <v>14</v>
      </c>
      <c r="D4026" s="17" t="s">
        <v>15</v>
      </c>
      <c r="E4026" s="17" t="s">
        <v>16</v>
      </c>
      <c r="F4026" s="18" t="s">
        <v>17</v>
      </c>
    </row>
    <row r="4027" spans="2:6" ht="17" thickTop="1">
      <c r="B4027" s="8"/>
      <c r="C4027" s="8"/>
      <c r="D4027" s="8"/>
      <c r="E4027" s="8"/>
    </row>
    <row r="4028" spans="2:6">
      <c r="B4028" s="24" t="s">
        <v>21</v>
      </c>
      <c r="C4028" s="20" t="s">
        <v>22</v>
      </c>
      <c r="D4028" s="20">
        <v>4.3999999999999997E-2</v>
      </c>
      <c r="E4028" s="22">
        <v>27500</v>
      </c>
      <c r="F4028" s="25">
        <f>E4028*D4028</f>
        <v>1210</v>
      </c>
    </row>
    <row r="4029" spans="2:6">
      <c r="B4029" s="20" t="s">
        <v>23</v>
      </c>
      <c r="C4029" s="20" t="s">
        <v>22</v>
      </c>
      <c r="D4029" s="20">
        <v>4.3999999999999997E-2</v>
      </c>
      <c r="E4029" s="22">
        <v>15000</v>
      </c>
      <c r="F4029" s="25">
        <f>E4029*D4029</f>
        <v>660</v>
      </c>
    </row>
    <row r="4030" spans="2:6">
      <c r="B4030" s="20" t="s">
        <v>23</v>
      </c>
      <c r="C4030" s="20" t="s">
        <v>22</v>
      </c>
      <c r="D4030" s="20">
        <v>4.3999999999999997E-2</v>
      </c>
      <c r="E4030" s="22">
        <v>15000</v>
      </c>
      <c r="F4030" s="25">
        <f>E4030*D4030</f>
        <v>660</v>
      </c>
    </row>
    <row r="4031" spans="2:6" ht="16">
      <c r="B4031" s="26"/>
      <c r="C4031" s="26"/>
      <c r="D4031" s="26"/>
      <c r="E4031" s="26"/>
      <c r="F4031" s="25">
        <f>E4031*D4031</f>
        <v>0</v>
      </c>
    </row>
    <row r="4032" spans="2:6" ht="16">
      <c r="B4032" s="27" t="s">
        <v>25</v>
      </c>
      <c r="C4032" s="27" t="s">
        <v>26</v>
      </c>
      <c r="D4032" s="28">
        <v>0.32</v>
      </c>
      <c r="E4032" s="29">
        <f>SUM(E4028:E4031)*D4032</f>
        <v>18400</v>
      </c>
      <c r="F4032" s="25">
        <f>E4032*D4032</f>
        <v>5888</v>
      </c>
    </row>
    <row r="4033" spans="2:6" ht="16">
      <c r="B4033" s="8"/>
      <c r="C4033" s="8"/>
      <c r="D4033" s="8"/>
      <c r="E4033" s="8"/>
    </row>
    <row r="4034" spans="2:6" ht="17" thickBot="1">
      <c r="B4034" s="6" t="s">
        <v>27</v>
      </c>
      <c r="C4034" s="8"/>
      <c r="D4034" s="8"/>
      <c r="E4034" s="8"/>
      <c r="F4034" s="23">
        <f>SUM(F4028:F4033)</f>
        <v>8418</v>
      </c>
    </row>
    <row r="4035" spans="2:6" ht="17" thickBot="1">
      <c r="B4035" s="8"/>
      <c r="C4035" s="8"/>
      <c r="D4035" s="8"/>
      <c r="E4035" s="8"/>
    </row>
    <row r="4036" spans="2:6" ht="15" thickTop="1" thickBot="1">
      <c r="B4036" s="16" t="s">
        <v>28</v>
      </c>
      <c r="C4036" s="17" t="s">
        <v>14</v>
      </c>
      <c r="D4036" s="17" t="s">
        <v>15</v>
      </c>
      <c r="E4036" s="17" t="s">
        <v>16</v>
      </c>
      <c r="F4036" s="18" t="s">
        <v>17</v>
      </c>
    </row>
    <row r="4037" spans="2:6" ht="17" thickTop="1">
      <c r="B4037" s="8"/>
      <c r="C4037" s="8"/>
      <c r="D4037" s="8"/>
      <c r="E4037" s="8"/>
    </row>
    <row r="4038" spans="2:6">
      <c r="B4038" s="20" t="s">
        <v>82</v>
      </c>
      <c r="C4038" s="20" t="s">
        <v>56</v>
      </c>
      <c r="D4038" s="20">
        <v>2.5000000000000001E-2</v>
      </c>
      <c r="E4038" s="22">
        <v>25000</v>
      </c>
      <c r="F4038" s="25">
        <f>E4038*D4038</f>
        <v>625</v>
      </c>
    </row>
    <row r="4039" spans="2:6">
      <c r="B4039" s="20" t="s">
        <v>31</v>
      </c>
      <c r="C4039" s="20" t="s">
        <v>32</v>
      </c>
      <c r="D4039" s="71">
        <v>1E-3</v>
      </c>
      <c r="E4039" s="22">
        <v>25000</v>
      </c>
      <c r="F4039" s="25">
        <f>E4039*D4039</f>
        <v>25</v>
      </c>
    </row>
    <row r="4040" spans="2:6">
      <c r="B4040" s="20" t="s">
        <v>253</v>
      </c>
      <c r="C4040" s="20" t="s">
        <v>32</v>
      </c>
      <c r="D4040" s="71">
        <v>0.09</v>
      </c>
      <c r="E4040" s="22">
        <v>190000</v>
      </c>
      <c r="F4040" s="25">
        <f>E4040*D4040</f>
        <v>17100</v>
      </c>
    </row>
    <row r="4041" spans="2:6" ht="16">
      <c r="B4041" s="26"/>
      <c r="C4041" s="26"/>
      <c r="D4041" s="26"/>
      <c r="E4041" s="26"/>
      <c r="F4041" s="25">
        <f>E4041*D4041</f>
        <v>0</v>
      </c>
    </row>
    <row r="4042" spans="2:6" ht="16">
      <c r="B4042" s="30"/>
      <c r="C4042" s="26"/>
      <c r="D4042" s="26"/>
      <c r="E4042" s="26"/>
      <c r="F4042" s="25">
        <f>E4042*D4042</f>
        <v>0</v>
      </c>
    </row>
    <row r="4043" spans="2:6" ht="16">
      <c r="B4043" s="8"/>
      <c r="C4043" s="8"/>
      <c r="D4043" s="8"/>
      <c r="E4043" s="8"/>
    </row>
    <row r="4044" spans="2:6" ht="14" thickBot="1">
      <c r="B4044" s="19" t="s">
        <v>33</v>
      </c>
      <c r="C4044" s="19"/>
      <c r="D4044" s="19"/>
      <c r="E4044" s="19"/>
      <c r="F4044" s="23">
        <f>SUM(F4038:F4043)</f>
        <v>17750</v>
      </c>
    </row>
    <row r="4045" spans="2:6" ht="16">
      <c r="B4045" s="8"/>
      <c r="C4045" s="8"/>
      <c r="D4045" s="8"/>
      <c r="E4045" s="8"/>
    </row>
    <row r="4046" spans="2:6" ht="17" thickBot="1">
      <c r="B4046" s="8"/>
      <c r="C4046" s="8"/>
      <c r="D4046" s="8"/>
      <c r="E4046" s="8"/>
    </row>
    <row r="4047" spans="2:6" ht="17" thickBot="1">
      <c r="B4047" s="31" t="s">
        <v>34</v>
      </c>
      <c r="C4047" s="13"/>
      <c r="D4047" s="13"/>
      <c r="E4047" s="13"/>
      <c r="F4047" s="32">
        <f>F4024+F4034+F4044</f>
        <v>12726168</v>
      </c>
    </row>
    <row r="4048" spans="2:6" ht="17" thickBot="1">
      <c r="B4048" s="31" t="s">
        <v>35</v>
      </c>
      <c r="C4048" s="13"/>
      <c r="D4048" s="13"/>
      <c r="E4048" s="33">
        <v>0.1</v>
      </c>
      <c r="F4048" s="32">
        <f>F4047*E4048</f>
        <v>1272616.8</v>
      </c>
    </row>
    <row r="4049" spans="2:6" ht="17" thickBot="1">
      <c r="B4049" s="31" t="s">
        <v>36</v>
      </c>
      <c r="C4049" s="13"/>
      <c r="D4049" s="13"/>
      <c r="E4049" s="72">
        <f>E3992</f>
        <v>0.1</v>
      </c>
      <c r="F4049" s="32">
        <f>F4047*E4049</f>
        <v>1272616.8</v>
      </c>
    </row>
    <row r="4050" spans="2:6" ht="17" thickBot="1">
      <c r="B4050" s="34" t="s">
        <v>37</v>
      </c>
      <c r="C4050" s="35"/>
      <c r="D4050" s="35"/>
      <c r="E4050" s="35"/>
      <c r="F4050" s="32">
        <f>SUM(F4047:F4049)</f>
        <v>15271401.600000001</v>
      </c>
    </row>
    <row r="4051" spans="2:6" ht="17" thickBot="1">
      <c r="B4051" s="36"/>
      <c r="C4051" s="8"/>
      <c r="D4051" s="8"/>
      <c r="E4051" s="8"/>
    </row>
    <row r="4052" spans="2:6" ht="18" thickTop="1" thickBot="1">
      <c r="B4052" s="37" t="s">
        <v>38</v>
      </c>
      <c r="C4052" s="8"/>
      <c r="D4052" s="8"/>
      <c r="E4052" s="8"/>
    </row>
    <row r="4053" spans="2:6" ht="18" thickTop="1" thickBot="1">
      <c r="B4053" s="8"/>
      <c r="C4053" s="8"/>
      <c r="D4053" s="8"/>
      <c r="E4053" s="8"/>
    </row>
    <row r="4054" spans="2:6" ht="17" thickTop="1">
      <c r="B4054" s="38"/>
      <c r="C4054" s="13"/>
      <c r="D4054" s="13"/>
      <c r="E4054" s="39"/>
      <c r="F4054" s="40"/>
    </row>
    <row r="4055" spans="2:6" ht="16">
      <c r="B4055" s="38"/>
      <c r="C4055" s="13"/>
      <c r="D4055" s="13"/>
      <c r="E4055" s="41"/>
      <c r="F4055" s="42"/>
    </row>
    <row r="4056" spans="2:6" ht="16">
      <c r="B4056" s="38"/>
      <c r="C4056" s="13"/>
      <c r="D4056" s="13"/>
      <c r="E4056" s="41"/>
      <c r="F4056" s="42"/>
    </row>
    <row r="4057" spans="2:6" ht="17" thickBot="1">
      <c r="B4057" s="54"/>
      <c r="C4057" s="35"/>
      <c r="D4057" s="35"/>
      <c r="E4057" s="44"/>
      <c r="F4057" s="45"/>
    </row>
    <row r="4058" spans="2:6" ht="17" thickTop="1">
      <c r="B4058" s="46"/>
      <c r="C4058" s="46"/>
      <c r="D4058" s="46"/>
      <c r="E4058" s="47"/>
      <c r="F4058" s="47"/>
    </row>
    <row r="4059" spans="2:6" ht="14" thickBot="1">
      <c r="B4059" s="1" t="s">
        <v>0</v>
      </c>
      <c r="C4059" s="1"/>
    </row>
    <row r="4060" spans="2:6" ht="17" thickBot="1">
      <c r="B4060" s="1" t="s">
        <v>1</v>
      </c>
      <c r="C4060" s="1"/>
      <c r="E4060" s="4" t="s">
        <v>2</v>
      </c>
      <c r="F4060" s="5"/>
    </row>
    <row r="4061" spans="2:6">
      <c r="B4061" s="6"/>
    </row>
    <row r="4062" spans="2:6" ht="16">
      <c r="B4062" s="7" t="s">
        <v>3</v>
      </c>
      <c r="C4062" s="7"/>
      <c r="D4062" s="7"/>
      <c r="E4062" s="7"/>
      <c r="F4062" s="7"/>
    </row>
    <row r="4063" spans="2:6" ht="16">
      <c r="B4063" s="8"/>
      <c r="C4063" s="8"/>
      <c r="D4063" s="8"/>
      <c r="E4063" s="8"/>
    </row>
    <row r="4064" spans="2:6" ht="21" customHeight="1">
      <c r="B4064" s="9" t="s">
        <v>4</v>
      </c>
      <c r="C4064" s="10" t="str">
        <f>C4007</f>
        <v>MEJORAMIENTO ESPACIO PUBLICO JJVV LUCILA GODOY ALCAYAGA</v>
      </c>
      <c r="D4064" s="10"/>
      <c r="E4064" s="10"/>
      <c r="F4064" s="11"/>
    </row>
    <row r="4065" spans="2:6" ht="16">
      <c r="B4065" s="12"/>
      <c r="C4065" s="8"/>
      <c r="D4065" s="8"/>
      <c r="E4065" s="8"/>
    </row>
    <row r="4066" spans="2:6" ht="16">
      <c r="B4066" s="9" t="s">
        <v>5</v>
      </c>
      <c r="C4066" s="13" t="s">
        <v>6</v>
      </c>
      <c r="D4066" s="13"/>
      <c r="E4066" s="13"/>
      <c r="F4066" s="14"/>
    </row>
    <row r="4067" spans="2:6" ht="16">
      <c r="B4067" s="9"/>
      <c r="C4067" s="13"/>
      <c r="D4067" s="13"/>
      <c r="E4067" s="13"/>
      <c r="F4067" s="14"/>
    </row>
    <row r="4068" spans="2:6" ht="16">
      <c r="B4068" s="9" t="s">
        <v>7</v>
      </c>
      <c r="C4068" s="13" t="str">
        <f>[1]LGA!A95</f>
        <v>6.5</v>
      </c>
      <c r="D4068" s="13"/>
      <c r="E4068" s="13"/>
      <c r="F4068" s="14"/>
    </row>
    <row r="4069" spans="2:6" ht="16">
      <c r="B4069" s="9" t="s">
        <v>8</v>
      </c>
      <c r="C4069" s="13" t="s">
        <v>257</v>
      </c>
      <c r="D4069" s="13"/>
      <c r="E4069" s="13"/>
      <c r="F4069" s="14"/>
    </row>
    <row r="4070" spans="2:6" ht="16">
      <c r="B4070" s="9" t="s">
        <v>10</v>
      </c>
      <c r="C4070" s="13" t="s">
        <v>179</v>
      </c>
      <c r="D4070" s="13"/>
      <c r="E4070" s="13"/>
      <c r="F4070" s="14"/>
    </row>
    <row r="4071" spans="2:6" ht="16">
      <c r="B4071" s="9" t="s">
        <v>12</v>
      </c>
      <c r="C4071" s="15">
        <f>C4014</f>
        <v>46024</v>
      </c>
      <c r="D4071" s="13"/>
      <c r="E4071" s="13"/>
      <c r="F4071" s="14"/>
    </row>
    <row r="4072" spans="2:6" ht="17" thickBot="1">
      <c r="B4072" s="8"/>
      <c r="C4072" s="8"/>
      <c r="D4072" s="8"/>
      <c r="E4072" s="8"/>
    </row>
    <row r="4073" spans="2:6" ht="15" thickTop="1" thickBot="1">
      <c r="B4073" s="16" t="s">
        <v>13</v>
      </c>
      <c r="C4073" s="17" t="s">
        <v>14</v>
      </c>
      <c r="D4073" s="17" t="s">
        <v>15</v>
      </c>
      <c r="E4073" s="17" t="s">
        <v>16</v>
      </c>
      <c r="F4073" s="18" t="s">
        <v>17</v>
      </c>
    </row>
    <row r="4074" spans="2:6" ht="14" thickTop="1">
      <c r="B4074" s="19"/>
      <c r="C4074" s="19"/>
      <c r="D4074" s="19"/>
      <c r="E4074" s="19"/>
      <c r="F4074" s="19"/>
    </row>
    <row r="4075" spans="2:6">
      <c r="B4075" s="20" t="str">
        <f>C4069</f>
        <v xml:space="preserve">Basurero de hormigón </v>
      </c>
      <c r="C4075" s="21" t="s">
        <v>56</v>
      </c>
      <c r="D4075" s="21">
        <v>1</v>
      </c>
      <c r="E4075" s="22">
        <v>350000</v>
      </c>
      <c r="F4075" s="22">
        <f t="shared" ref="F4075:F4080" si="68">E4075*D4075</f>
        <v>350000</v>
      </c>
    </row>
    <row r="4076" spans="2:6">
      <c r="B4076" s="20"/>
      <c r="C4076" s="21"/>
      <c r="D4076" s="21"/>
      <c r="E4076" s="22"/>
      <c r="F4076" s="22">
        <f t="shared" si="68"/>
        <v>0</v>
      </c>
    </row>
    <row r="4077" spans="2:6">
      <c r="B4077" s="20"/>
      <c r="C4077" s="21"/>
      <c r="D4077" s="21"/>
      <c r="E4077" s="22"/>
      <c r="F4077" s="22">
        <f t="shared" si="68"/>
        <v>0</v>
      </c>
    </row>
    <row r="4078" spans="2:6">
      <c r="B4078" s="20"/>
      <c r="C4078" s="21"/>
      <c r="D4078" s="21"/>
      <c r="E4078" s="22"/>
      <c r="F4078" s="22">
        <f t="shared" si="68"/>
        <v>0</v>
      </c>
    </row>
    <row r="4079" spans="2:6">
      <c r="B4079" s="20"/>
      <c r="C4079" s="21"/>
      <c r="D4079" s="21"/>
      <c r="E4079" s="22"/>
      <c r="F4079" s="22">
        <f t="shared" si="68"/>
        <v>0</v>
      </c>
    </row>
    <row r="4080" spans="2:6">
      <c r="B4080" s="20"/>
      <c r="C4080" s="21"/>
      <c r="D4080" s="21"/>
      <c r="E4080" s="22"/>
      <c r="F4080" s="22">
        <f t="shared" si="68"/>
        <v>0</v>
      </c>
    </row>
    <row r="4081" spans="2:6" ht="17" thickBot="1">
      <c r="B4081" s="6" t="s">
        <v>19</v>
      </c>
      <c r="C4081" s="8"/>
      <c r="D4081" s="8"/>
      <c r="E4081" s="8"/>
      <c r="F4081" s="23">
        <f>SUM(F4075:F4080)</f>
        <v>350000</v>
      </c>
    </row>
    <row r="4082" spans="2:6" ht="17" thickBot="1">
      <c r="B4082" s="8"/>
      <c r="C4082" s="8"/>
      <c r="D4082" s="8"/>
      <c r="E4082" s="8"/>
    </row>
    <row r="4083" spans="2:6" ht="15" thickTop="1" thickBot="1">
      <c r="B4083" s="16" t="s">
        <v>20</v>
      </c>
      <c r="C4083" s="17" t="s">
        <v>14</v>
      </c>
      <c r="D4083" s="17" t="s">
        <v>15</v>
      </c>
      <c r="E4083" s="17" t="s">
        <v>16</v>
      </c>
      <c r="F4083" s="18" t="s">
        <v>17</v>
      </c>
    </row>
    <row r="4084" spans="2:6" ht="17" thickTop="1">
      <c r="B4084" s="8"/>
      <c r="C4084" s="8"/>
      <c r="D4084" s="8"/>
      <c r="E4084" s="8"/>
    </row>
    <row r="4085" spans="2:6">
      <c r="B4085" s="24" t="s">
        <v>21</v>
      </c>
      <c r="C4085" s="20" t="s">
        <v>22</v>
      </c>
      <c r="D4085" s="20">
        <v>4.3999999999999997E-2</v>
      </c>
      <c r="E4085" s="22">
        <v>27500</v>
      </c>
      <c r="F4085" s="25">
        <f>E4085*D4085</f>
        <v>1210</v>
      </c>
    </row>
    <row r="4086" spans="2:6">
      <c r="B4086" s="20" t="s">
        <v>23</v>
      </c>
      <c r="C4086" s="20" t="s">
        <v>22</v>
      </c>
      <c r="D4086" s="20">
        <v>4.3999999999999997E-2</v>
      </c>
      <c r="E4086" s="22">
        <v>15000</v>
      </c>
      <c r="F4086" s="25">
        <f>E4086*D4086</f>
        <v>660</v>
      </c>
    </row>
    <row r="4087" spans="2:6">
      <c r="B4087" s="20" t="s">
        <v>23</v>
      </c>
      <c r="C4087" s="20" t="s">
        <v>22</v>
      </c>
      <c r="D4087" s="20">
        <v>4.3999999999999997E-2</v>
      </c>
      <c r="E4087" s="22">
        <v>15000</v>
      </c>
      <c r="F4087" s="25">
        <f>E4087*D4087</f>
        <v>660</v>
      </c>
    </row>
    <row r="4088" spans="2:6" ht="16">
      <c r="B4088" s="26"/>
      <c r="C4088" s="26"/>
      <c r="D4088" s="26"/>
      <c r="E4088" s="26"/>
      <c r="F4088" s="25">
        <f>E4088*D4088</f>
        <v>0</v>
      </c>
    </row>
    <row r="4089" spans="2:6" ht="16">
      <c r="B4089" s="27" t="s">
        <v>25</v>
      </c>
      <c r="C4089" s="27" t="s">
        <v>26</v>
      </c>
      <c r="D4089" s="28">
        <v>0.32</v>
      </c>
      <c r="E4089" s="29">
        <f>SUM(E4085:E4088)*D4089</f>
        <v>18400</v>
      </c>
      <c r="F4089" s="25">
        <f>E4089*D4089</f>
        <v>5888</v>
      </c>
    </row>
    <row r="4090" spans="2:6" ht="16">
      <c r="B4090" s="8"/>
      <c r="C4090" s="8"/>
      <c r="D4090" s="8"/>
      <c r="E4090" s="8"/>
    </row>
    <row r="4091" spans="2:6" ht="17" thickBot="1">
      <c r="B4091" s="6" t="s">
        <v>27</v>
      </c>
      <c r="C4091" s="8"/>
      <c r="D4091" s="8"/>
      <c r="E4091" s="8"/>
      <c r="F4091" s="23">
        <f>SUM(F4085:F4090)</f>
        <v>8418</v>
      </c>
    </row>
    <row r="4092" spans="2:6" ht="17" thickBot="1">
      <c r="B4092" s="8"/>
      <c r="C4092" s="8"/>
      <c r="D4092" s="8"/>
      <c r="E4092" s="8"/>
    </row>
    <row r="4093" spans="2:6" ht="15" thickTop="1" thickBot="1">
      <c r="B4093" s="16" t="s">
        <v>28</v>
      </c>
      <c r="C4093" s="17" t="s">
        <v>14</v>
      </c>
      <c r="D4093" s="17" t="s">
        <v>15</v>
      </c>
      <c r="E4093" s="17" t="s">
        <v>16</v>
      </c>
      <c r="F4093" s="18" t="s">
        <v>17</v>
      </c>
    </row>
    <row r="4094" spans="2:6" ht="17" thickTop="1">
      <c r="B4094" s="8"/>
      <c r="C4094" s="8"/>
      <c r="D4094" s="8"/>
      <c r="E4094" s="8"/>
    </row>
    <row r="4095" spans="2:6">
      <c r="B4095" s="20" t="s">
        <v>82</v>
      </c>
      <c r="C4095" s="20" t="s">
        <v>56</v>
      </c>
      <c r="D4095" s="20">
        <v>2.5000000000000001E-2</v>
      </c>
      <c r="E4095" s="22">
        <v>25000</v>
      </c>
      <c r="F4095" s="25">
        <f>E4095*D4095</f>
        <v>625</v>
      </c>
    </row>
    <row r="4096" spans="2:6">
      <c r="B4096" s="20" t="s">
        <v>31</v>
      </c>
      <c r="C4096" s="20" t="s">
        <v>32</v>
      </c>
      <c r="D4096" s="71">
        <v>1E-3</v>
      </c>
      <c r="E4096" s="22">
        <v>25000</v>
      </c>
      <c r="F4096" s="25">
        <f>E4096*D4096</f>
        <v>25</v>
      </c>
    </row>
    <row r="4097" spans="2:6">
      <c r="B4097" s="20" t="s">
        <v>253</v>
      </c>
      <c r="C4097" s="20" t="s">
        <v>32</v>
      </c>
      <c r="D4097" s="71">
        <v>0.09</v>
      </c>
      <c r="E4097" s="22">
        <v>190000</v>
      </c>
      <c r="F4097" s="25">
        <f>E4097*D4097</f>
        <v>17100</v>
      </c>
    </row>
    <row r="4098" spans="2:6" ht="16">
      <c r="B4098" s="26"/>
      <c r="C4098" s="26"/>
      <c r="D4098" s="26"/>
      <c r="E4098" s="26"/>
      <c r="F4098" s="25">
        <f>E4098*D4098</f>
        <v>0</v>
      </c>
    </row>
    <row r="4099" spans="2:6" ht="16">
      <c r="B4099" s="30"/>
      <c r="C4099" s="26"/>
      <c r="D4099" s="26"/>
      <c r="E4099" s="26"/>
      <c r="F4099" s="25">
        <f>E4099*D4099</f>
        <v>0</v>
      </c>
    </row>
    <row r="4100" spans="2:6" ht="16">
      <c r="B4100" s="8"/>
      <c r="C4100" s="8"/>
      <c r="D4100" s="8"/>
      <c r="E4100" s="8"/>
    </row>
    <row r="4101" spans="2:6" ht="14" thickBot="1">
      <c r="B4101" s="19" t="s">
        <v>33</v>
      </c>
      <c r="C4101" s="19"/>
      <c r="D4101" s="19"/>
      <c r="E4101" s="19"/>
      <c r="F4101" s="23">
        <f>SUM(F4095:F4100)</f>
        <v>17750</v>
      </c>
    </row>
    <row r="4102" spans="2:6" ht="16">
      <c r="B4102" s="8"/>
      <c r="C4102" s="8"/>
      <c r="D4102" s="8"/>
      <c r="E4102" s="8"/>
    </row>
    <row r="4103" spans="2:6" ht="17" thickBot="1">
      <c r="B4103" s="8"/>
      <c r="C4103" s="8"/>
      <c r="D4103" s="8"/>
      <c r="E4103" s="8"/>
    </row>
    <row r="4104" spans="2:6" ht="17" thickBot="1">
      <c r="B4104" s="31" t="s">
        <v>34</v>
      </c>
      <c r="C4104" s="13"/>
      <c r="D4104" s="13"/>
      <c r="E4104" s="13"/>
      <c r="F4104" s="32">
        <f>F4081+F4091+F4101</f>
        <v>376168</v>
      </c>
    </row>
    <row r="4105" spans="2:6" ht="17" thickBot="1">
      <c r="B4105" s="31" t="s">
        <v>35</v>
      </c>
      <c r="C4105" s="13"/>
      <c r="D4105" s="13"/>
      <c r="E4105" s="33">
        <v>0.1</v>
      </c>
      <c r="F4105" s="32">
        <f>F4104*E4105</f>
        <v>37616.800000000003</v>
      </c>
    </row>
    <row r="4106" spans="2:6" ht="17" thickBot="1">
      <c r="B4106" s="31" t="s">
        <v>36</v>
      </c>
      <c r="C4106" s="13"/>
      <c r="D4106" s="13"/>
      <c r="E4106" s="72">
        <f>E4049</f>
        <v>0.1</v>
      </c>
      <c r="F4106" s="32">
        <f>F4104*E4106</f>
        <v>37616.800000000003</v>
      </c>
    </row>
    <row r="4107" spans="2:6" ht="17" thickBot="1">
      <c r="B4107" s="34" t="s">
        <v>37</v>
      </c>
      <c r="C4107" s="35"/>
      <c r="D4107" s="35"/>
      <c r="E4107" s="35"/>
      <c r="F4107" s="32">
        <f>SUM(F4104:F4106)</f>
        <v>451401.6</v>
      </c>
    </row>
    <row r="4108" spans="2:6" ht="17" thickBot="1">
      <c r="B4108" s="36"/>
      <c r="C4108" s="8"/>
      <c r="D4108" s="8"/>
      <c r="E4108" s="8"/>
    </row>
    <row r="4109" spans="2:6" ht="18" thickTop="1" thickBot="1">
      <c r="B4109" s="37" t="s">
        <v>38</v>
      </c>
      <c r="C4109" s="8"/>
      <c r="D4109" s="8"/>
      <c r="E4109" s="8"/>
    </row>
    <row r="4110" spans="2:6" ht="18" thickTop="1" thickBot="1">
      <c r="B4110" s="8"/>
      <c r="C4110" s="8"/>
      <c r="D4110" s="8"/>
      <c r="E4110" s="8"/>
    </row>
    <row r="4111" spans="2:6" ht="17" thickTop="1">
      <c r="B4111" s="38"/>
      <c r="C4111" s="13"/>
      <c r="D4111" s="13"/>
      <c r="E4111" s="39"/>
      <c r="F4111" s="40"/>
    </row>
    <row r="4112" spans="2:6" ht="16">
      <c r="B4112" s="38"/>
      <c r="C4112" s="13"/>
      <c r="D4112" s="13"/>
      <c r="E4112" s="41"/>
      <c r="F4112" s="42"/>
    </row>
    <row r="4113" spans="2:6" ht="16">
      <c r="B4113" s="38"/>
      <c r="C4113" s="13"/>
      <c r="D4113" s="13"/>
      <c r="E4113" s="41"/>
      <c r="F4113" s="42"/>
    </row>
    <row r="4114" spans="2:6" ht="17" thickBot="1">
      <c r="B4114" s="54"/>
      <c r="C4114" s="35"/>
      <c r="D4114" s="35"/>
      <c r="E4114" s="44"/>
      <c r="F4114" s="45"/>
    </row>
    <row r="4115" spans="2:6" ht="17" thickTop="1">
      <c r="B4115" s="46"/>
      <c r="C4115" s="46"/>
      <c r="D4115" s="46"/>
      <c r="E4115" s="47"/>
      <c r="F4115" s="47"/>
    </row>
    <row r="4116" spans="2:6" ht="14" thickBot="1">
      <c r="B4116" s="1" t="s">
        <v>0</v>
      </c>
      <c r="C4116" s="1"/>
    </row>
    <row r="4117" spans="2:6" ht="17" thickBot="1">
      <c r="B4117" s="1" t="s">
        <v>1</v>
      </c>
      <c r="C4117" s="1"/>
      <c r="E4117" s="4" t="s">
        <v>2</v>
      </c>
      <c r="F4117" s="5"/>
    </row>
    <row r="4118" spans="2:6">
      <c r="B4118" s="6"/>
    </row>
    <row r="4119" spans="2:6" ht="16">
      <c r="B4119" s="7" t="s">
        <v>3</v>
      </c>
      <c r="C4119" s="7"/>
      <c r="D4119" s="7"/>
      <c r="E4119" s="7"/>
      <c r="F4119" s="7"/>
    </row>
    <row r="4120" spans="2:6" ht="16">
      <c r="B4120" s="8"/>
      <c r="C4120" s="8"/>
      <c r="D4120" s="8"/>
      <c r="E4120" s="8"/>
    </row>
    <row r="4121" spans="2:6" ht="21" customHeight="1">
      <c r="B4121" s="9" t="s">
        <v>4</v>
      </c>
      <c r="C4121" s="10" t="str">
        <f>C4064</f>
        <v>MEJORAMIENTO ESPACIO PUBLICO JJVV LUCILA GODOY ALCAYAGA</v>
      </c>
      <c r="D4121" s="10"/>
      <c r="E4121" s="10"/>
      <c r="F4121" s="11"/>
    </row>
    <row r="4122" spans="2:6" ht="16">
      <c r="B4122" s="12"/>
      <c r="C4122" s="8"/>
      <c r="D4122" s="8"/>
      <c r="E4122" s="8"/>
    </row>
    <row r="4123" spans="2:6" ht="16">
      <c r="B4123" s="9" t="s">
        <v>5</v>
      </c>
      <c r="C4123" s="13" t="s">
        <v>6</v>
      </c>
      <c r="D4123" s="13"/>
      <c r="E4123" s="13"/>
      <c r="F4123" s="14"/>
    </row>
    <row r="4124" spans="2:6" ht="16">
      <c r="B4124" s="9"/>
      <c r="C4124" s="13"/>
      <c r="D4124" s="13"/>
      <c r="E4124" s="13"/>
      <c r="F4124" s="14"/>
    </row>
    <row r="4125" spans="2:6" ht="16">
      <c r="B4125" s="9" t="s">
        <v>7</v>
      </c>
      <c r="C4125" s="13" t="str">
        <f>[1]LGA!A96</f>
        <v>6.6</v>
      </c>
      <c r="D4125" s="13"/>
      <c r="E4125" s="13"/>
      <c r="F4125" s="14"/>
    </row>
    <row r="4126" spans="2:6" ht="16">
      <c r="B4126" s="9" t="s">
        <v>8</v>
      </c>
      <c r="C4126" s="13" t="s">
        <v>258</v>
      </c>
      <c r="D4126" s="13"/>
      <c r="E4126" s="13"/>
      <c r="F4126" s="14"/>
    </row>
    <row r="4127" spans="2:6" ht="16">
      <c r="B4127" s="9" t="s">
        <v>10</v>
      </c>
      <c r="C4127" s="13" t="s">
        <v>179</v>
      </c>
      <c r="D4127" s="13"/>
      <c r="E4127" s="13"/>
      <c r="F4127" s="14"/>
    </row>
    <row r="4128" spans="2:6" ht="16">
      <c r="B4128" s="9" t="s">
        <v>12</v>
      </c>
      <c r="C4128" s="15">
        <f>C4071</f>
        <v>46024</v>
      </c>
      <c r="D4128" s="13"/>
      <c r="E4128" s="13"/>
      <c r="F4128" s="14"/>
    </row>
    <row r="4129" spans="2:6" ht="17" thickBot="1">
      <c r="B4129" s="8"/>
      <c r="C4129" s="8"/>
      <c r="D4129" s="8"/>
      <c r="E4129" s="8"/>
    </row>
    <row r="4130" spans="2:6" ht="15" thickTop="1" thickBot="1">
      <c r="B4130" s="16" t="s">
        <v>13</v>
      </c>
      <c r="C4130" s="17" t="s">
        <v>14</v>
      </c>
      <c r="D4130" s="17" t="s">
        <v>15</v>
      </c>
      <c r="E4130" s="17" t="s">
        <v>16</v>
      </c>
      <c r="F4130" s="18" t="s">
        <v>17</v>
      </c>
    </row>
    <row r="4131" spans="2:6" ht="14" thickTop="1">
      <c r="B4131" s="19"/>
      <c r="C4131" s="19"/>
      <c r="D4131" s="19"/>
      <c r="E4131" s="19"/>
      <c r="F4131" s="19"/>
    </row>
    <row r="4132" spans="2:6">
      <c r="B4132" s="20" t="str">
        <f>C4126</f>
        <v xml:space="preserve">Juego de resorte </v>
      </c>
      <c r="C4132" s="21" t="s">
        <v>56</v>
      </c>
      <c r="D4132" s="21">
        <v>1</v>
      </c>
      <c r="E4132" s="22">
        <v>1450000</v>
      </c>
      <c r="F4132" s="22">
        <f t="shared" ref="F4132:F4137" si="69">E4132*D4132</f>
        <v>1450000</v>
      </c>
    </row>
    <row r="4133" spans="2:6">
      <c r="B4133" s="20"/>
      <c r="C4133" s="21"/>
      <c r="D4133" s="21"/>
      <c r="E4133" s="22"/>
      <c r="F4133" s="22">
        <f t="shared" si="69"/>
        <v>0</v>
      </c>
    </row>
    <row r="4134" spans="2:6">
      <c r="B4134" s="20"/>
      <c r="C4134" s="21"/>
      <c r="D4134" s="21"/>
      <c r="E4134" s="22"/>
      <c r="F4134" s="22">
        <f t="shared" si="69"/>
        <v>0</v>
      </c>
    </row>
    <row r="4135" spans="2:6">
      <c r="B4135" s="20"/>
      <c r="C4135" s="21"/>
      <c r="D4135" s="21"/>
      <c r="E4135" s="22"/>
      <c r="F4135" s="22">
        <f t="shared" si="69"/>
        <v>0</v>
      </c>
    </row>
    <row r="4136" spans="2:6">
      <c r="B4136" s="20"/>
      <c r="C4136" s="21"/>
      <c r="D4136" s="21"/>
      <c r="E4136" s="22"/>
      <c r="F4136" s="22">
        <f t="shared" si="69"/>
        <v>0</v>
      </c>
    </row>
    <row r="4137" spans="2:6">
      <c r="B4137" s="20"/>
      <c r="C4137" s="21"/>
      <c r="D4137" s="21"/>
      <c r="E4137" s="22"/>
      <c r="F4137" s="22">
        <f t="shared" si="69"/>
        <v>0</v>
      </c>
    </row>
    <row r="4138" spans="2:6" ht="17" thickBot="1">
      <c r="B4138" s="6" t="s">
        <v>19</v>
      </c>
      <c r="C4138" s="8"/>
      <c r="D4138" s="8"/>
      <c r="E4138" s="8"/>
      <c r="F4138" s="23">
        <f>SUM(F4132:F4137)</f>
        <v>1450000</v>
      </c>
    </row>
    <row r="4139" spans="2:6" ht="17" thickBot="1">
      <c r="B4139" s="8"/>
      <c r="C4139" s="8"/>
      <c r="D4139" s="8"/>
      <c r="E4139" s="8"/>
    </row>
    <row r="4140" spans="2:6" ht="15" thickTop="1" thickBot="1">
      <c r="B4140" s="16" t="s">
        <v>20</v>
      </c>
      <c r="C4140" s="17" t="s">
        <v>14</v>
      </c>
      <c r="D4140" s="17" t="s">
        <v>15</v>
      </c>
      <c r="E4140" s="17" t="s">
        <v>16</v>
      </c>
      <c r="F4140" s="18" t="s">
        <v>17</v>
      </c>
    </row>
    <row r="4141" spans="2:6" ht="17" thickTop="1">
      <c r="B4141" s="8"/>
      <c r="C4141" s="8"/>
      <c r="D4141" s="8"/>
      <c r="E4141" s="8"/>
    </row>
    <row r="4142" spans="2:6">
      <c r="B4142" s="24" t="s">
        <v>21</v>
      </c>
      <c r="C4142" s="20" t="s">
        <v>22</v>
      </c>
      <c r="D4142" s="20">
        <v>4.3999999999999997E-2</v>
      </c>
      <c r="E4142" s="22">
        <v>27500</v>
      </c>
      <c r="F4142" s="25">
        <f>E4142*D4142</f>
        <v>1210</v>
      </c>
    </row>
    <row r="4143" spans="2:6">
      <c r="B4143" s="20" t="s">
        <v>23</v>
      </c>
      <c r="C4143" s="20" t="s">
        <v>22</v>
      </c>
      <c r="D4143" s="20">
        <v>4.3999999999999997E-2</v>
      </c>
      <c r="E4143" s="22">
        <v>15000</v>
      </c>
      <c r="F4143" s="25">
        <f>E4143*D4143</f>
        <v>660</v>
      </c>
    </row>
    <row r="4144" spans="2:6">
      <c r="B4144" s="20" t="s">
        <v>23</v>
      </c>
      <c r="C4144" s="20" t="s">
        <v>22</v>
      </c>
      <c r="D4144" s="20">
        <v>4.3999999999999997E-2</v>
      </c>
      <c r="E4144" s="22">
        <v>15000</v>
      </c>
      <c r="F4144" s="25">
        <f>E4144*D4144</f>
        <v>660</v>
      </c>
    </row>
    <row r="4145" spans="2:6" ht="16">
      <c r="B4145" s="26"/>
      <c r="C4145" s="26"/>
      <c r="D4145" s="26"/>
      <c r="E4145" s="26"/>
      <c r="F4145" s="25">
        <f>E4145*D4145</f>
        <v>0</v>
      </c>
    </row>
    <row r="4146" spans="2:6" ht="16">
      <c r="B4146" s="27" t="s">
        <v>25</v>
      </c>
      <c r="C4146" s="27" t="s">
        <v>26</v>
      </c>
      <c r="D4146" s="28">
        <v>0.32</v>
      </c>
      <c r="E4146" s="29">
        <f>SUM(E4142:E4145)*D4146</f>
        <v>18400</v>
      </c>
      <c r="F4146" s="25">
        <f>E4146*D4146</f>
        <v>5888</v>
      </c>
    </row>
    <row r="4147" spans="2:6" ht="16">
      <c r="B4147" s="8"/>
      <c r="C4147" s="8"/>
      <c r="D4147" s="8"/>
      <c r="E4147" s="8"/>
    </row>
    <row r="4148" spans="2:6" ht="17" thickBot="1">
      <c r="B4148" s="6" t="s">
        <v>27</v>
      </c>
      <c r="C4148" s="8"/>
      <c r="D4148" s="8"/>
      <c r="E4148" s="8"/>
      <c r="F4148" s="23">
        <f>SUM(F4142:F4147)</f>
        <v>8418</v>
      </c>
    </row>
    <row r="4149" spans="2:6" ht="17" thickBot="1">
      <c r="B4149" s="8"/>
      <c r="C4149" s="8"/>
      <c r="D4149" s="8"/>
      <c r="E4149" s="8"/>
    </row>
    <row r="4150" spans="2:6" ht="15" thickTop="1" thickBot="1">
      <c r="B4150" s="16" t="s">
        <v>28</v>
      </c>
      <c r="C4150" s="17" t="s">
        <v>14</v>
      </c>
      <c r="D4150" s="17" t="s">
        <v>15</v>
      </c>
      <c r="E4150" s="17" t="s">
        <v>16</v>
      </c>
      <c r="F4150" s="18" t="s">
        <v>17</v>
      </c>
    </row>
    <row r="4151" spans="2:6" ht="17" thickTop="1">
      <c r="B4151" s="8"/>
      <c r="C4151" s="8"/>
      <c r="D4151" s="8"/>
      <c r="E4151" s="8"/>
    </row>
    <row r="4152" spans="2:6">
      <c r="B4152" s="20" t="s">
        <v>82</v>
      </c>
      <c r="C4152" s="20" t="s">
        <v>56</v>
      </c>
      <c r="D4152" s="20">
        <v>2.5000000000000001E-2</v>
      </c>
      <c r="E4152" s="22">
        <v>25000</v>
      </c>
      <c r="F4152" s="25">
        <f>E4152*D4152</f>
        <v>625</v>
      </c>
    </row>
    <row r="4153" spans="2:6">
      <c r="B4153" s="20" t="s">
        <v>31</v>
      </c>
      <c r="C4153" s="20" t="s">
        <v>32</v>
      </c>
      <c r="D4153" s="71">
        <v>1E-3</v>
      </c>
      <c r="E4153" s="22">
        <v>25000</v>
      </c>
      <c r="F4153" s="25">
        <f>E4153*D4153</f>
        <v>25</v>
      </c>
    </row>
    <row r="4154" spans="2:6">
      <c r="B4154" s="20" t="s">
        <v>253</v>
      </c>
      <c r="C4154" s="20" t="s">
        <v>32</v>
      </c>
      <c r="D4154" s="71">
        <v>0.09</v>
      </c>
      <c r="E4154" s="22">
        <v>190000</v>
      </c>
      <c r="F4154" s="25">
        <f>E4154*D4154</f>
        <v>17100</v>
      </c>
    </row>
    <row r="4155" spans="2:6" ht="16">
      <c r="B4155" s="26"/>
      <c r="C4155" s="26"/>
      <c r="D4155" s="26"/>
      <c r="E4155" s="26"/>
      <c r="F4155" s="25">
        <f>E4155*D4155</f>
        <v>0</v>
      </c>
    </row>
    <row r="4156" spans="2:6" ht="16">
      <c r="B4156" s="30"/>
      <c r="C4156" s="26"/>
      <c r="D4156" s="26"/>
      <c r="E4156" s="26"/>
      <c r="F4156" s="25">
        <f>E4156*D4156</f>
        <v>0</v>
      </c>
    </row>
    <row r="4157" spans="2:6" ht="16">
      <c r="B4157" s="8"/>
      <c r="C4157" s="8"/>
      <c r="D4157" s="8"/>
      <c r="E4157" s="8"/>
    </row>
    <row r="4158" spans="2:6" ht="14" thickBot="1">
      <c r="B4158" s="19" t="s">
        <v>33</v>
      </c>
      <c r="C4158" s="19"/>
      <c r="D4158" s="19"/>
      <c r="E4158" s="19"/>
      <c r="F4158" s="23">
        <f>SUM(F4152:F4157)</f>
        <v>17750</v>
      </c>
    </row>
    <row r="4159" spans="2:6" ht="16">
      <c r="B4159" s="8"/>
      <c r="C4159" s="8"/>
      <c r="D4159" s="8"/>
      <c r="E4159" s="8"/>
    </row>
    <row r="4160" spans="2:6" ht="17" thickBot="1">
      <c r="B4160" s="8"/>
      <c r="C4160" s="8"/>
      <c r="D4160" s="8"/>
      <c r="E4160" s="8"/>
    </row>
    <row r="4161" spans="2:6" ht="17" thickBot="1">
      <c r="B4161" s="31" t="s">
        <v>34</v>
      </c>
      <c r="C4161" s="13"/>
      <c r="D4161" s="13"/>
      <c r="E4161" s="13"/>
      <c r="F4161" s="32">
        <f>F4138+F4148+F4158</f>
        <v>1476168</v>
      </c>
    </row>
    <row r="4162" spans="2:6" ht="17" thickBot="1">
      <c r="B4162" s="31" t="s">
        <v>35</v>
      </c>
      <c r="C4162" s="13"/>
      <c r="D4162" s="13"/>
      <c r="E4162" s="33">
        <v>0.1</v>
      </c>
      <c r="F4162" s="32">
        <f>F4161*E4162</f>
        <v>147616.80000000002</v>
      </c>
    </row>
    <row r="4163" spans="2:6" ht="17" thickBot="1">
      <c r="B4163" s="31" t="s">
        <v>36</v>
      </c>
      <c r="C4163" s="13"/>
      <c r="D4163" s="13"/>
      <c r="E4163" s="72">
        <f>E4106</f>
        <v>0.1</v>
      </c>
      <c r="F4163" s="32">
        <f>F4161*E4163</f>
        <v>147616.80000000002</v>
      </c>
    </row>
    <row r="4164" spans="2:6" ht="17" thickBot="1">
      <c r="B4164" s="34" t="s">
        <v>37</v>
      </c>
      <c r="C4164" s="35"/>
      <c r="D4164" s="35"/>
      <c r="E4164" s="35"/>
      <c r="F4164" s="32">
        <f>SUM(F4161:F4163)</f>
        <v>1771401.6</v>
      </c>
    </row>
    <row r="4165" spans="2:6" ht="17" thickBot="1">
      <c r="B4165" s="36"/>
      <c r="C4165" s="8"/>
      <c r="D4165" s="8"/>
      <c r="E4165" s="8"/>
    </row>
    <row r="4166" spans="2:6" ht="18" thickTop="1" thickBot="1">
      <c r="B4166" s="37" t="s">
        <v>38</v>
      </c>
      <c r="C4166" s="8"/>
      <c r="D4166" s="8"/>
      <c r="E4166" s="8"/>
    </row>
    <row r="4167" spans="2:6" ht="18" thickTop="1" thickBot="1">
      <c r="B4167" s="8"/>
      <c r="C4167" s="8"/>
      <c r="D4167" s="8"/>
      <c r="E4167" s="8"/>
    </row>
    <row r="4168" spans="2:6" ht="17" thickTop="1">
      <c r="B4168" s="38"/>
      <c r="C4168" s="13"/>
      <c r="D4168" s="13"/>
      <c r="E4168" s="39"/>
      <c r="F4168" s="40"/>
    </row>
    <row r="4169" spans="2:6" ht="16">
      <c r="B4169" s="38"/>
      <c r="C4169" s="13"/>
      <c r="D4169" s="13"/>
      <c r="E4169" s="41"/>
      <c r="F4169" s="42"/>
    </row>
    <row r="4170" spans="2:6" ht="16">
      <c r="B4170" s="38"/>
      <c r="C4170" s="13"/>
      <c r="D4170" s="13"/>
      <c r="E4170" s="41"/>
      <c r="F4170" s="42"/>
    </row>
    <row r="4171" spans="2:6" ht="17" thickBot="1">
      <c r="B4171" s="54"/>
      <c r="C4171" s="35"/>
      <c r="D4171" s="35"/>
      <c r="E4171" s="44"/>
      <c r="F4171" s="45"/>
    </row>
    <row r="4172" spans="2:6" ht="17" thickTop="1">
      <c r="B4172" s="46"/>
      <c r="C4172" s="46"/>
      <c r="D4172" s="46"/>
      <c r="E4172" s="47"/>
      <c r="F4172" s="47"/>
    </row>
    <row r="4173" spans="2:6" ht="14" thickBot="1">
      <c r="B4173" s="1" t="s">
        <v>0</v>
      </c>
      <c r="C4173" s="1"/>
    </row>
    <row r="4174" spans="2:6" ht="17" thickBot="1">
      <c r="B4174" s="1" t="s">
        <v>1</v>
      </c>
      <c r="C4174" s="1"/>
      <c r="E4174" s="4" t="s">
        <v>2</v>
      </c>
      <c r="F4174" s="5"/>
    </row>
    <row r="4175" spans="2:6">
      <c r="B4175" s="6"/>
    </row>
    <row r="4176" spans="2:6" ht="16">
      <c r="B4176" s="7" t="s">
        <v>3</v>
      </c>
      <c r="C4176" s="7"/>
      <c r="D4176" s="7"/>
      <c r="E4176" s="7"/>
      <c r="F4176" s="7"/>
    </row>
    <row r="4177" spans="2:6" ht="16">
      <c r="B4177" s="8"/>
      <c r="C4177" s="8"/>
      <c r="D4177" s="8"/>
      <c r="E4177" s="8"/>
    </row>
    <row r="4178" spans="2:6" ht="21" customHeight="1">
      <c r="B4178" s="9" t="s">
        <v>4</v>
      </c>
      <c r="C4178" s="10" t="str">
        <f>C4121</f>
        <v>MEJORAMIENTO ESPACIO PUBLICO JJVV LUCILA GODOY ALCAYAGA</v>
      </c>
      <c r="D4178" s="10"/>
      <c r="E4178" s="10"/>
      <c r="F4178" s="11"/>
    </row>
    <row r="4179" spans="2:6" ht="16">
      <c r="B4179" s="12"/>
      <c r="C4179" s="8"/>
      <c r="D4179" s="8"/>
      <c r="E4179" s="8"/>
    </row>
    <row r="4180" spans="2:6" ht="16">
      <c r="B4180" s="9" t="s">
        <v>5</v>
      </c>
      <c r="C4180" s="13" t="s">
        <v>6</v>
      </c>
      <c r="D4180" s="13"/>
      <c r="E4180" s="13"/>
      <c r="F4180" s="14"/>
    </row>
    <row r="4181" spans="2:6" ht="16">
      <c r="B4181" s="9"/>
      <c r="C4181" s="13"/>
      <c r="D4181" s="13"/>
      <c r="E4181" s="13"/>
      <c r="F4181" s="14"/>
    </row>
    <row r="4182" spans="2:6" ht="16">
      <c r="B4182" s="9" t="s">
        <v>7</v>
      </c>
      <c r="C4182" s="13" t="str">
        <f>[1]LGA!A97</f>
        <v>6.7</v>
      </c>
      <c r="D4182" s="13"/>
      <c r="E4182" s="13"/>
      <c r="F4182" s="14"/>
    </row>
    <row r="4183" spans="2:6" ht="16">
      <c r="B4183" s="9" t="s">
        <v>8</v>
      </c>
      <c r="C4183" s="13" t="s">
        <v>259</v>
      </c>
      <c r="D4183" s="13"/>
      <c r="E4183" s="13"/>
      <c r="F4183" s="14"/>
    </row>
    <row r="4184" spans="2:6" ht="16">
      <c r="B4184" s="9" t="s">
        <v>10</v>
      </c>
      <c r="C4184" s="13" t="s">
        <v>179</v>
      </c>
      <c r="D4184" s="13"/>
      <c r="E4184" s="13"/>
      <c r="F4184" s="14"/>
    </row>
    <row r="4185" spans="2:6" ht="16">
      <c r="B4185" s="9" t="s">
        <v>12</v>
      </c>
      <c r="C4185" s="15">
        <f>C4128</f>
        <v>46024</v>
      </c>
      <c r="D4185" s="13"/>
      <c r="E4185" s="13"/>
      <c r="F4185" s="14"/>
    </row>
    <row r="4186" spans="2:6" ht="17" thickBot="1">
      <c r="B4186" s="8"/>
      <c r="C4186" s="8"/>
      <c r="D4186" s="8"/>
      <c r="E4186" s="8"/>
    </row>
    <row r="4187" spans="2:6" ht="15" thickTop="1" thickBot="1">
      <c r="B4187" s="16" t="s">
        <v>13</v>
      </c>
      <c r="C4187" s="17" t="s">
        <v>14</v>
      </c>
      <c r="D4187" s="17" t="s">
        <v>15</v>
      </c>
      <c r="E4187" s="17" t="s">
        <v>16</v>
      </c>
      <c r="F4187" s="18" t="s">
        <v>17</v>
      </c>
    </row>
    <row r="4188" spans="2:6" ht="14" thickTop="1">
      <c r="B4188" s="19"/>
      <c r="C4188" s="19"/>
      <c r="D4188" s="19"/>
      <c r="E4188" s="19"/>
      <c r="F4188" s="19"/>
    </row>
    <row r="4189" spans="2:6">
      <c r="B4189" s="20" t="str">
        <f>C4183</f>
        <v xml:space="preserve">Barra calisteria </v>
      </c>
      <c r="C4189" s="21" t="s">
        <v>56</v>
      </c>
      <c r="D4189" s="21">
        <v>1</v>
      </c>
      <c r="E4189" s="22">
        <v>3600000</v>
      </c>
      <c r="F4189" s="22">
        <f t="shared" ref="F4189:F4194" si="70">E4189*D4189</f>
        <v>3600000</v>
      </c>
    </row>
    <row r="4190" spans="2:6">
      <c r="B4190" s="20"/>
      <c r="C4190" s="21"/>
      <c r="D4190" s="21"/>
      <c r="E4190" s="22"/>
      <c r="F4190" s="22">
        <f t="shared" si="70"/>
        <v>0</v>
      </c>
    </row>
    <row r="4191" spans="2:6">
      <c r="B4191" s="20"/>
      <c r="C4191" s="21"/>
      <c r="D4191" s="21"/>
      <c r="E4191" s="22"/>
      <c r="F4191" s="22">
        <f t="shared" si="70"/>
        <v>0</v>
      </c>
    </row>
    <row r="4192" spans="2:6">
      <c r="B4192" s="20"/>
      <c r="C4192" s="21"/>
      <c r="D4192" s="21"/>
      <c r="E4192" s="22"/>
      <c r="F4192" s="22">
        <f t="shared" si="70"/>
        <v>0</v>
      </c>
    </row>
    <row r="4193" spans="2:6">
      <c r="B4193" s="20"/>
      <c r="C4193" s="21"/>
      <c r="D4193" s="21"/>
      <c r="E4193" s="22"/>
      <c r="F4193" s="22">
        <f t="shared" si="70"/>
        <v>0</v>
      </c>
    </row>
    <row r="4194" spans="2:6">
      <c r="B4194" s="20"/>
      <c r="C4194" s="21"/>
      <c r="D4194" s="21"/>
      <c r="E4194" s="22"/>
      <c r="F4194" s="22">
        <f t="shared" si="70"/>
        <v>0</v>
      </c>
    </row>
    <row r="4195" spans="2:6" ht="17" thickBot="1">
      <c r="B4195" s="6" t="s">
        <v>19</v>
      </c>
      <c r="C4195" s="8"/>
      <c r="D4195" s="8"/>
      <c r="E4195" s="8"/>
      <c r="F4195" s="23">
        <f>SUM(F4189:F4194)</f>
        <v>3600000</v>
      </c>
    </row>
    <row r="4196" spans="2:6" ht="17" thickBot="1">
      <c r="B4196" s="8"/>
      <c r="C4196" s="8"/>
      <c r="D4196" s="8"/>
      <c r="E4196" s="8"/>
    </row>
    <row r="4197" spans="2:6" ht="15" thickTop="1" thickBot="1">
      <c r="B4197" s="16" t="s">
        <v>20</v>
      </c>
      <c r="C4197" s="17" t="s">
        <v>14</v>
      </c>
      <c r="D4197" s="17" t="s">
        <v>15</v>
      </c>
      <c r="E4197" s="17" t="s">
        <v>16</v>
      </c>
      <c r="F4197" s="18" t="s">
        <v>17</v>
      </c>
    </row>
    <row r="4198" spans="2:6" ht="17" thickTop="1">
      <c r="B4198" s="8"/>
      <c r="C4198" s="8"/>
      <c r="D4198" s="8"/>
      <c r="E4198" s="8"/>
    </row>
    <row r="4199" spans="2:6">
      <c r="B4199" s="24" t="s">
        <v>21</v>
      </c>
      <c r="C4199" s="20" t="s">
        <v>22</v>
      </c>
      <c r="D4199" s="20">
        <v>4.3999999999999997E-2</v>
      </c>
      <c r="E4199" s="22">
        <v>27500</v>
      </c>
      <c r="F4199" s="25">
        <f>E4199*D4199</f>
        <v>1210</v>
      </c>
    </row>
    <row r="4200" spans="2:6">
      <c r="B4200" s="20" t="s">
        <v>23</v>
      </c>
      <c r="C4200" s="20" t="s">
        <v>22</v>
      </c>
      <c r="D4200" s="20">
        <v>4.3999999999999997E-2</v>
      </c>
      <c r="E4200" s="22">
        <v>15000</v>
      </c>
      <c r="F4200" s="25">
        <f>E4200*D4200</f>
        <v>660</v>
      </c>
    </row>
    <row r="4201" spans="2:6">
      <c r="B4201" s="20" t="s">
        <v>23</v>
      </c>
      <c r="C4201" s="20" t="s">
        <v>22</v>
      </c>
      <c r="D4201" s="20">
        <v>4.3999999999999997E-2</v>
      </c>
      <c r="E4201" s="22">
        <v>15000</v>
      </c>
      <c r="F4201" s="25">
        <f>E4201*D4201</f>
        <v>660</v>
      </c>
    </row>
    <row r="4202" spans="2:6" ht="16">
      <c r="B4202" s="26"/>
      <c r="C4202" s="26"/>
      <c r="D4202" s="26"/>
      <c r="E4202" s="26"/>
      <c r="F4202" s="25">
        <f>E4202*D4202</f>
        <v>0</v>
      </c>
    </row>
    <row r="4203" spans="2:6" ht="16">
      <c r="B4203" s="27" t="s">
        <v>25</v>
      </c>
      <c r="C4203" s="27" t="s">
        <v>26</v>
      </c>
      <c r="D4203" s="28">
        <v>0.32</v>
      </c>
      <c r="E4203" s="29">
        <f>SUM(E4199:E4202)*D4203</f>
        <v>18400</v>
      </c>
      <c r="F4203" s="25">
        <f>E4203*D4203</f>
        <v>5888</v>
      </c>
    </row>
    <row r="4204" spans="2:6" ht="16">
      <c r="B4204" s="8"/>
      <c r="C4204" s="8"/>
      <c r="D4204" s="8"/>
      <c r="E4204" s="8"/>
    </row>
    <row r="4205" spans="2:6" ht="17" thickBot="1">
      <c r="B4205" s="6" t="s">
        <v>27</v>
      </c>
      <c r="C4205" s="8"/>
      <c r="D4205" s="8"/>
      <c r="E4205" s="8"/>
      <c r="F4205" s="23">
        <f>SUM(F4199:F4204)</f>
        <v>8418</v>
      </c>
    </row>
    <row r="4206" spans="2:6" ht="17" thickBot="1">
      <c r="B4206" s="8"/>
      <c r="C4206" s="8"/>
      <c r="D4206" s="8"/>
      <c r="E4206" s="8"/>
    </row>
    <row r="4207" spans="2:6" ht="15" thickTop="1" thickBot="1">
      <c r="B4207" s="16" t="s">
        <v>28</v>
      </c>
      <c r="C4207" s="17" t="s">
        <v>14</v>
      </c>
      <c r="D4207" s="17" t="s">
        <v>15</v>
      </c>
      <c r="E4207" s="17" t="s">
        <v>16</v>
      </c>
      <c r="F4207" s="18" t="s">
        <v>17</v>
      </c>
    </row>
    <row r="4208" spans="2:6" ht="17" thickTop="1">
      <c r="B4208" s="8"/>
      <c r="C4208" s="8"/>
      <c r="D4208" s="8"/>
      <c r="E4208" s="8"/>
    </row>
    <row r="4209" spans="2:6">
      <c r="B4209" s="20" t="s">
        <v>82</v>
      </c>
      <c r="C4209" s="20" t="s">
        <v>56</v>
      </c>
      <c r="D4209" s="20">
        <v>2.5000000000000001E-2</v>
      </c>
      <c r="E4209" s="22">
        <v>25000</v>
      </c>
      <c r="F4209" s="25">
        <f>E4209*D4209</f>
        <v>625</v>
      </c>
    </row>
    <row r="4210" spans="2:6">
      <c r="B4210" s="20" t="s">
        <v>31</v>
      </c>
      <c r="C4210" s="20" t="s">
        <v>32</v>
      </c>
      <c r="D4210" s="71">
        <v>1E-3</v>
      </c>
      <c r="E4210" s="22">
        <v>25000</v>
      </c>
      <c r="F4210" s="25">
        <f>E4210*D4210</f>
        <v>25</v>
      </c>
    </row>
    <row r="4211" spans="2:6">
      <c r="B4211" s="20" t="s">
        <v>253</v>
      </c>
      <c r="C4211" s="20" t="s">
        <v>32</v>
      </c>
      <c r="D4211" s="71">
        <v>0.09</v>
      </c>
      <c r="E4211" s="22">
        <v>190000</v>
      </c>
      <c r="F4211" s="25">
        <f>E4211*D4211</f>
        <v>17100</v>
      </c>
    </row>
    <row r="4212" spans="2:6" ht="16">
      <c r="B4212" s="26"/>
      <c r="C4212" s="26"/>
      <c r="D4212" s="26"/>
      <c r="E4212" s="26"/>
      <c r="F4212" s="25">
        <f>E4212*D4212</f>
        <v>0</v>
      </c>
    </row>
    <row r="4213" spans="2:6" ht="16">
      <c r="B4213" s="30"/>
      <c r="C4213" s="26"/>
      <c r="D4213" s="26"/>
      <c r="E4213" s="26"/>
      <c r="F4213" s="25">
        <f>E4213*D4213</f>
        <v>0</v>
      </c>
    </row>
    <row r="4214" spans="2:6" ht="16">
      <c r="B4214" s="8"/>
      <c r="C4214" s="8"/>
      <c r="D4214" s="8"/>
      <c r="E4214" s="8"/>
    </row>
    <row r="4215" spans="2:6" ht="14" thickBot="1">
      <c r="B4215" s="19" t="s">
        <v>33</v>
      </c>
      <c r="C4215" s="19"/>
      <c r="D4215" s="19"/>
      <c r="E4215" s="19"/>
      <c r="F4215" s="23">
        <f>SUM(F4209:F4214)</f>
        <v>17750</v>
      </c>
    </row>
    <row r="4216" spans="2:6" ht="16">
      <c r="B4216" s="8"/>
      <c r="C4216" s="8"/>
      <c r="D4216" s="8"/>
      <c r="E4216" s="8"/>
    </row>
    <row r="4217" spans="2:6" ht="17" thickBot="1">
      <c r="B4217" s="8"/>
      <c r="C4217" s="8"/>
      <c r="D4217" s="8"/>
      <c r="E4217" s="8"/>
    </row>
    <row r="4218" spans="2:6" ht="17" thickBot="1">
      <c r="B4218" s="31" t="s">
        <v>34</v>
      </c>
      <c r="C4218" s="13"/>
      <c r="D4218" s="13"/>
      <c r="E4218" s="13"/>
      <c r="F4218" s="32">
        <f>F4195+F4205+F4215</f>
        <v>3626168</v>
      </c>
    </row>
    <row r="4219" spans="2:6" ht="17" thickBot="1">
      <c r="B4219" s="31" t="s">
        <v>35</v>
      </c>
      <c r="C4219" s="13"/>
      <c r="D4219" s="13"/>
      <c r="E4219" s="33">
        <v>0.1</v>
      </c>
      <c r="F4219" s="32">
        <f>F4218*E4219</f>
        <v>362616.80000000005</v>
      </c>
    </row>
    <row r="4220" spans="2:6" ht="17" thickBot="1">
      <c r="B4220" s="31" t="s">
        <v>36</v>
      </c>
      <c r="C4220" s="13"/>
      <c r="D4220" s="13"/>
      <c r="E4220" s="72">
        <f>E4163</f>
        <v>0.1</v>
      </c>
      <c r="F4220" s="32">
        <f>F4218*E4220</f>
        <v>362616.80000000005</v>
      </c>
    </row>
    <row r="4221" spans="2:6" ht="17" thickBot="1">
      <c r="B4221" s="34" t="s">
        <v>37</v>
      </c>
      <c r="C4221" s="35"/>
      <c r="D4221" s="35"/>
      <c r="E4221" s="35"/>
      <c r="F4221" s="32">
        <f>SUM(F4218:F4220)</f>
        <v>4351401.5999999996</v>
      </c>
    </row>
    <row r="4222" spans="2:6" ht="17" thickBot="1">
      <c r="B4222" s="36"/>
      <c r="C4222" s="8"/>
      <c r="D4222" s="8"/>
      <c r="E4222" s="8"/>
    </row>
    <row r="4223" spans="2:6" ht="18" thickTop="1" thickBot="1">
      <c r="B4223" s="37" t="s">
        <v>38</v>
      </c>
      <c r="C4223" s="8"/>
      <c r="D4223" s="8"/>
      <c r="E4223" s="8"/>
    </row>
    <row r="4224" spans="2:6" ht="18" thickTop="1" thickBot="1">
      <c r="B4224" s="8"/>
      <c r="C4224" s="8"/>
      <c r="D4224" s="8"/>
      <c r="E4224" s="8"/>
    </row>
    <row r="4225" spans="2:6" ht="17" thickTop="1">
      <c r="B4225" s="38"/>
      <c r="C4225" s="13"/>
      <c r="D4225" s="13"/>
      <c r="E4225" s="39"/>
      <c r="F4225" s="40"/>
    </row>
    <row r="4226" spans="2:6" ht="16">
      <c r="B4226" s="38"/>
      <c r="C4226" s="13"/>
      <c r="D4226" s="13"/>
      <c r="E4226" s="41"/>
      <c r="F4226" s="42"/>
    </row>
    <row r="4227" spans="2:6" ht="16">
      <c r="B4227" s="38"/>
      <c r="C4227" s="13"/>
      <c r="D4227" s="13"/>
      <c r="E4227" s="41"/>
      <c r="F4227" s="42"/>
    </row>
    <row r="4228" spans="2:6" ht="17" thickBot="1">
      <c r="B4228" s="54"/>
      <c r="C4228" s="35"/>
      <c r="D4228" s="35"/>
      <c r="E4228" s="44"/>
      <c r="F4228" s="45"/>
    </row>
    <row r="4229" spans="2:6" ht="17" thickTop="1">
      <c r="B4229" s="46"/>
      <c r="C4229" s="46"/>
      <c r="D4229" s="46"/>
      <c r="E4229" s="47"/>
      <c r="F4229" s="47"/>
    </row>
    <row r="4230" spans="2:6" ht="14" thickBot="1">
      <c r="B4230" s="1" t="s">
        <v>0</v>
      </c>
      <c r="C4230" s="1"/>
    </row>
    <row r="4231" spans="2:6" ht="17" thickBot="1">
      <c r="B4231" s="1" t="s">
        <v>1</v>
      </c>
      <c r="C4231" s="1"/>
      <c r="E4231" s="4" t="s">
        <v>2</v>
      </c>
      <c r="F4231" s="5"/>
    </row>
    <row r="4232" spans="2:6">
      <c r="B4232" s="6"/>
    </row>
    <row r="4233" spans="2:6" ht="16">
      <c r="B4233" s="7" t="s">
        <v>3</v>
      </c>
      <c r="C4233" s="7"/>
      <c r="D4233" s="7"/>
      <c r="E4233" s="7"/>
      <c r="F4233" s="7"/>
    </row>
    <row r="4234" spans="2:6" ht="16">
      <c r="B4234" s="8"/>
      <c r="C4234" s="8"/>
      <c r="D4234" s="8"/>
      <c r="E4234" s="8"/>
    </row>
    <row r="4235" spans="2:6" ht="16">
      <c r="B4235" s="9" t="s">
        <v>4</v>
      </c>
      <c r="C4235" s="13" t="str">
        <f>C4178</f>
        <v>MEJORAMIENTO ESPACIO PUBLICO JJVV LUCILA GODOY ALCAYAGA</v>
      </c>
      <c r="D4235" s="13"/>
      <c r="E4235" s="13"/>
      <c r="F4235" s="14"/>
    </row>
    <row r="4236" spans="2:6" ht="16">
      <c r="B4236" s="12"/>
      <c r="C4236" s="8"/>
      <c r="D4236" s="8"/>
      <c r="E4236" s="8"/>
    </row>
    <row r="4237" spans="2:6" ht="16">
      <c r="B4237" s="9" t="s">
        <v>5</v>
      </c>
      <c r="C4237" s="13" t="s">
        <v>6</v>
      </c>
      <c r="D4237" s="13"/>
      <c r="E4237" s="13"/>
      <c r="F4237" s="14"/>
    </row>
    <row r="4238" spans="2:6" ht="16">
      <c r="B4238" s="9"/>
      <c r="C4238" s="13"/>
      <c r="D4238" s="13"/>
      <c r="E4238" s="13"/>
      <c r="F4238" s="14"/>
    </row>
    <row r="4239" spans="2:6" ht="16">
      <c r="B4239" s="9" t="s">
        <v>7</v>
      </c>
      <c r="C4239" s="13" t="str">
        <f>[1]LGA!A98</f>
        <v>6.8</v>
      </c>
      <c r="D4239" s="13"/>
      <c r="E4239" s="13"/>
      <c r="F4239" s="14"/>
    </row>
    <row r="4240" spans="2:6" ht="16">
      <c r="B4240" s="9" t="s">
        <v>8</v>
      </c>
      <c r="C4240" s="13" t="s">
        <v>260</v>
      </c>
      <c r="D4240" s="13"/>
      <c r="E4240" s="13"/>
      <c r="F4240" s="14"/>
    </row>
    <row r="4241" spans="2:6" ht="16">
      <c r="B4241" s="9" t="s">
        <v>10</v>
      </c>
      <c r="C4241" s="13" t="s">
        <v>261</v>
      </c>
      <c r="D4241" s="13"/>
      <c r="E4241" s="13"/>
      <c r="F4241" s="14"/>
    </row>
    <row r="4242" spans="2:6" ht="16">
      <c r="B4242" s="9" t="s">
        <v>12</v>
      </c>
      <c r="C4242" s="15">
        <f>C4185</f>
        <v>46024</v>
      </c>
      <c r="D4242" s="13"/>
      <c r="E4242" s="13"/>
      <c r="F4242" s="14"/>
    </row>
    <row r="4243" spans="2:6" ht="17" thickBot="1">
      <c r="B4243" s="8"/>
      <c r="C4243" s="8"/>
      <c r="D4243" s="8"/>
      <c r="E4243" s="8"/>
    </row>
    <row r="4244" spans="2:6" ht="15" thickTop="1" thickBot="1">
      <c r="B4244" s="16" t="s">
        <v>13</v>
      </c>
      <c r="C4244" s="17" t="s">
        <v>14</v>
      </c>
      <c r="D4244" s="17" t="s">
        <v>15</v>
      </c>
      <c r="E4244" s="17" t="s">
        <v>16</v>
      </c>
      <c r="F4244" s="18" t="s">
        <v>17</v>
      </c>
    </row>
    <row r="4245" spans="2:6" ht="14" thickTop="1">
      <c r="B4245" s="19"/>
      <c r="C4245" s="19"/>
      <c r="D4245" s="19"/>
      <c r="E4245" s="19"/>
      <c r="F4245" s="19"/>
    </row>
    <row r="4246" spans="2:6" ht="28">
      <c r="B4246" s="77" t="s">
        <v>262</v>
      </c>
      <c r="C4246" s="21" t="s">
        <v>56</v>
      </c>
      <c r="D4246" s="21">
        <v>1</v>
      </c>
      <c r="E4246" s="22">
        <v>4200000</v>
      </c>
      <c r="F4246" s="22">
        <f t="shared" ref="F4246:F4251" si="71">E4246*D4246</f>
        <v>4200000</v>
      </c>
    </row>
    <row r="4247" spans="2:6">
      <c r="B4247" s="20"/>
      <c r="C4247" s="21"/>
      <c r="D4247" s="21"/>
      <c r="E4247" s="22"/>
      <c r="F4247" s="22">
        <f t="shared" si="71"/>
        <v>0</v>
      </c>
    </row>
    <row r="4248" spans="2:6">
      <c r="B4248" s="20"/>
      <c r="C4248" s="21"/>
      <c r="D4248" s="21"/>
      <c r="E4248" s="22"/>
      <c r="F4248" s="22">
        <f t="shared" si="71"/>
        <v>0</v>
      </c>
    </row>
    <row r="4249" spans="2:6">
      <c r="B4249" s="20"/>
      <c r="C4249" s="21"/>
      <c r="D4249" s="21"/>
      <c r="E4249" s="22"/>
      <c r="F4249" s="22">
        <f t="shared" si="71"/>
        <v>0</v>
      </c>
    </row>
    <row r="4250" spans="2:6">
      <c r="B4250" s="20"/>
      <c r="C4250" s="21"/>
      <c r="D4250" s="21"/>
      <c r="E4250" s="22"/>
      <c r="F4250" s="22">
        <f t="shared" si="71"/>
        <v>0</v>
      </c>
    </row>
    <row r="4251" spans="2:6">
      <c r="B4251" s="20"/>
      <c r="C4251" s="21"/>
      <c r="D4251" s="21"/>
      <c r="E4251" s="22"/>
      <c r="F4251" s="22">
        <f t="shared" si="71"/>
        <v>0</v>
      </c>
    </row>
    <row r="4252" spans="2:6" ht="17" thickBot="1">
      <c r="B4252" s="6" t="s">
        <v>19</v>
      </c>
      <c r="C4252" s="8"/>
      <c r="D4252" s="8"/>
      <c r="E4252" s="8"/>
      <c r="F4252" s="23">
        <f>SUM(F4246:F4251)</f>
        <v>4200000</v>
      </c>
    </row>
    <row r="4253" spans="2:6" ht="17" thickBot="1">
      <c r="B4253" s="8"/>
      <c r="C4253" s="8"/>
      <c r="D4253" s="8"/>
      <c r="E4253" s="8"/>
    </row>
    <row r="4254" spans="2:6" ht="15" thickTop="1" thickBot="1">
      <c r="B4254" s="16" t="s">
        <v>20</v>
      </c>
      <c r="C4254" s="17" t="s">
        <v>14</v>
      </c>
      <c r="D4254" s="17" t="s">
        <v>15</v>
      </c>
      <c r="E4254" s="17" t="s">
        <v>16</v>
      </c>
      <c r="F4254" s="18" t="s">
        <v>17</v>
      </c>
    </row>
    <row r="4255" spans="2:6" ht="17" thickTop="1">
      <c r="B4255" s="8"/>
      <c r="C4255" s="8"/>
      <c r="D4255" s="8"/>
      <c r="E4255" s="8"/>
    </row>
    <row r="4256" spans="2:6">
      <c r="B4256" s="24" t="s">
        <v>21</v>
      </c>
      <c r="C4256" s="20" t="s">
        <v>22</v>
      </c>
      <c r="D4256" s="20">
        <v>4.3999999999999997E-2</v>
      </c>
      <c r="E4256" s="22">
        <v>27500</v>
      </c>
      <c r="F4256" s="25">
        <f>E4256*D4256</f>
        <v>1210</v>
      </c>
    </row>
    <row r="4257" spans="2:6">
      <c r="B4257" s="20" t="s">
        <v>23</v>
      </c>
      <c r="C4257" s="20" t="s">
        <v>22</v>
      </c>
      <c r="D4257" s="20">
        <v>4.3999999999999997E-2</v>
      </c>
      <c r="E4257" s="22">
        <v>15000</v>
      </c>
      <c r="F4257" s="25">
        <f>E4257*D4257</f>
        <v>660</v>
      </c>
    </row>
    <row r="4258" spans="2:6">
      <c r="B4258" s="20" t="s">
        <v>23</v>
      </c>
      <c r="C4258" s="20" t="s">
        <v>22</v>
      </c>
      <c r="D4258" s="20">
        <v>4.3999999999999997E-2</v>
      </c>
      <c r="E4258" s="22">
        <v>15000</v>
      </c>
      <c r="F4258" s="25">
        <f>E4258*D4258</f>
        <v>660</v>
      </c>
    </row>
    <row r="4259" spans="2:6" ht="16">
      <c r="B4259" s="26"/>
      <c r="C4259" s="26"/>
      <c r="D4259" s="26"/>
      <c r="E4259" s="26"/>
      <c r="F4259" s="25">
        <f>E4259*D4259</f>
        <v>0</v>
      </c>
    </row>
    <row r="4260" spans="2:6" ht="16">
      <c r="B4260" s="27" t="s">
        <v>25</v>
      </c>
      <c r="C4260" s="27" t="s">
        <v>26</v>
      </c>
      <c r="D4260" s="28">
        <v>0.32</v>
      </c>
      <c r="E4260" s="29">
        <f>SUM(E4256:E4259)*D4260</f>
        <v>18400</v>
      </c>
      <c r="F4260" s="25">
        <f>E4260*D4260</f>
        <v>5888</v>
      </c>
    </row>
    <row r="4261" spans="2:6" ht="16">
      <c r="B4261" s="8"/>
      <c r="C4261" s="8"/>
      <c r="D4261" s="8"/>
      <c r="E4261" s="8"/>
    </row>
    <row r="4262" spans="2:6" ht="17" thickBot="1">
      <c r="B4262" s="6" t="s">
        <v>27</v>
      </c>
      <c r="C4262" s="8"/>
      <c r="D4262" s="8"/>
      <c r="E4262" s="8"/>
      <c r="F4262" s="23">
        <f>SUM(F4256:F4261)</f>
        <v>8418</v>
      </c>
    </row>
    <row r="4263" spans="2:6" ht="17" thickBot="1">
      <c r="B4263" s="8"/>
      <c r="C4263" s="8"/>
      <c r="D4263" s="8"/>
      <c r="E4263" s="8"/>
    </row>
    <row r="4264" spans="2:6" ht="15" thickTop="1" thickBot="1">
      <c r="B4264" s="16" t="s">
        <v>28</v>
      </c>
      <c r="C4264" s="17" t="s">
        <v>14</v>
      </c>
      <c r="D4264" s="17" t="s">
        <v>15</v>
      </c>
      <c r="E4264" s="17" t="s">
        <v>16</v>
      </c>
      <c r="F4264" s="18" t="s">
        <v>17</v>
      </c>
    </row>
    <row r="4265" spans="2:6" ht="17" thickTop="1">
      <c r="B4265" s="8"/>
      <c r="C4265" s="8"/>
      <c r="D4265" s="8"/>
      <c r="E4265" s="8"/>
    </row>
    <row r="4266" spans="2:6">
      <c r="B4266" s="20" t="s">
        <v>82</v>
      </c>
      <c r="C4266" s="20" t="s">
        <v>56</v>
      </c>
      <c r="D4266" s="20">
        <v>2.5000000000000001E-2</v>
      </c>
      <c r="E4266" s="22">
        <v>25000</v>
      </c>
      <c r="F4266" s="25">
        <f>E4266*D4266</f>
        <v>625</v>
      </c>
    </row>
    <row r="4267" spans="2:6">
      <c r="B4267" s="20" t="s">
        <v>31</v>
      </c>
      <c r="C4267" s="20" t="s">
        <v>32</v>
      </c>
      <c r="D4267" s="71">
        <v>1E-3</v>
      </c>
      <c r="E4267" s="22">
        <v>25000</v>
      </c>
      <c r="F4267" s="25">
        <f>E4267*D4267</f>
        <v>25</v>
      </c>
    </row>
    <row r="4268" spans="2:6">
      <c r="B4268" s="20" t="s">
        <v>253</v>
      </c>
      <c r="C4268" s="20" t="s">
        <v>32</v>
      </c>
      <c r="D4268" s="71">
        <v>1</v>
      </c>
      <c r="E4268" s="22">
        <v>190000</v>
      </c>
      <c r="F4268" s="25">
        <f>E4268*D4268</f>
        <v>190000</v>
      </c>
    </row>
    <row r="4269" spans="2:6" ht="16">
      <c r="B4269" s="26"/>
      <c r="C4269" s="26"/>
      <c r="D4269" s="26"/>
      <c r="E4269" s="26"/>
      <c r="F4269" s="25">
        <f>E4269*D4269</f>
        <v>0</v>
      </c>
    </row>
    <row r="4270" spans="2:6" ht="16">
      <c r="B4270" s="30"/>
      <c r="C4270" s="26"/>
      <c r="D4270" s="26"/>
      <c r="E4270" s="26"/>
      <c r="F4270" s="25">
        <f>E4270*D4270</f>
        <v>0</v>
      </c>
    </row>
    <row r="4271" spans="2:6" ht="16">
      <c r="B4271" s="8"/>
      <c r="C4271" s="8"/>
      <c r="D4271" s="8"/>
      <c r="E4271" s="8"/>
    </row>
    <row r="4272" spans="2:6" ht="14" thickBot="1">
      <c r="B4272" s="19" t="s">
        <v>33</v>
      </c>
      <c r="C4272" s="19"/>
      <c r="D4272" s="19"/>
      <c r="E4272" s="19"/>
      <c r="F4272" s="23">
        <f>SUM(F4266:F4271)</f>
        <v>190650</v>
      </c>
    </row>
    <row r="4273" spans="2:6" ht="16">
      <c r="B4273" s="8"/>
      <c r="C4273" s="8"/>
      <c r="D4273" s="8"/>
      <c r="E4273" s="8"/>
    </row>
    <row r="4274" spans="2:6" ht="17" thickBot="1">
      <c r="B4274" s="8"/>
      <c r="C4274" s="8"/>
      <c r="D4274" s="8"/>
      <c r="E4274" s="8"/>
    </row>
    <row r="4275" spans="2:6" ht="17" thickBot="1">
      <c r="B4275" s="31" t="s">
        <v>34</v>
      </c>
      <c r="C4275" s="13"/>
      <c r="D4275" s="13"/>
      <c r="E4275" s="13"/>
      <c r="F4275" s="32">
        <f>F4252+F4262+F4272</f>
        <v>4399068</v>
      </c>
    </row>
    <row r="4276" spans="2:6" ht="17" thickBot="1">
      <c r="B4276" s="31" t="s">
        <v>35</v>
      </c>
      <c r="C4276" s="13"/>
      <c r="D4276" s="13"/>
      <c r="E4276" s="33">
        <v>0.1</v>
      </c>
      <c r="F4276" s="32">
        <f>F4275*E4276</f>
        <v>439906.80000000005</v>
      </c>
    </row>
    <row r="4277" spans="2:6" ht="17" thickBot="1">
      <c r="B4277" s="31" t="s">
        <v>36</v>
      </c>
      <c r="C4277" s="13"/>
      <c r="D4277" s="13"/>
      <c r="E4277" s="33">
        <v>0.1</v>
      </c>
      <c r="F4277" s="32">
        <f>F4275*E4277</f>
        <v>439906.80000000005</v>
      </c>
    </row>
    <row r="4278" spans="2:6" ht="17" thickBot="1">
      <c r="B4278" s="34" t="s">
        <v>37</v>
      </c>
      <c r="C4278" s="35"/>
      <c r="D4278" s="35"/>
      <c r="E4278" s="35"/>
      <c r="F4278" s="32">
        <f>SUM(F4275:F4277)</f>
        <v>5278881.5999999996</v>
      </c>
    </row>
    <row r="4279" spans="2:6" ht="17" thickBot="1">
      <c r="B4279" s="36"/>
      <c r="C4279" s="8"/>
      <c r="D4279" s="8"/>
      <c r="E4279" s="8"/>
    </row>
    <row r="4280" spans="2:6" ht="18" thickTop="1" thickBot="1">
      <c r="B4280" s="37" t="s">
        <v>38</v>
      </c>
      <c r="C4280" s="8"/>
      <c r="D4280" s="8"/>
      <c r="E4280" s="8"/>
    </row>
    <row r="4281" spans="2:6" ht="18" thickTop="1" thickBot="1">
      <c r="B4281" s="8"/>
      <c r="C4281" s="8"/>
      <c r="D4281" s="8"/>
      <c r="E4281" s="8"/>
    </row>
    <row r="4282" spans="2:6" ht="17" thickTop="1">
      <c r="B4282" s="38"/>
      <c r="C4282" s="13"/>
      <c r="D4282" s="13"/>
      <c r="E4282" s="39"/>
      <c r="F4282" s="40"/>
    </row>
    <row r="4283" spans="2:6" ht="16">
      <c r="B4283" s="38"/>
      <c r="C4283" s="13"/>
      <c r="D4283" s="13"/>
      <c r="E4283" s="41"/>
      <c r="F4283" s="42"/>
    </row>
    <row r="4284" spans="2:6" ht="16">
      <c r="B4284" s="38"/>
      <c r="C4284" s="13"/>
      <c r="D4284" s="13"/>
      <c r="E4284" s="41"/>
      <c r="F4284" s="42"/>
    </row>
    <row r="4285" spans="2:6" ht="17" thickBot="1">
      <c r="B4285" s="54"/>
      <c r="C4285" s="35"/>
      <c r="D4285" s="35"/>
      <c r="E4285" s="44"/>
      <c r="F4285" s="45"/>
    </row>
    <row r="4286" spans="2:6" ht="17" thickTop="1">
      <c r="B4286" s="46"/>
      <c r="C4286" s="46"/>
      <c r="D4286" s="46"/>
      <c r="E4286" s="47"/>
      <c r="F4286" s="47"/>
    </row>
    <row r="4287" spans="2:6" ht="14" thickBot="1">
      <c r="B4287" s="1" t="s">
        <v>0</v>
      </c>
      <c r="C4287" s="1"/>
    </row>
    <row r="4288" spans="2:6" ht="17" thickBot="1">
      <c r="B4288" s="1" t="s">
        <v>1</v>
      </c>
      <c r="C4288" s="1"/>
      <c r="E4288" s="4" t="s">
        <v>2</v>
      </c>
      <c r="F4288" s="5"/>
    </row>
    <row r="4289" spans="2:6">
      <c r="B4289" s="6"/>
    </row>
    <row r="4290" spans="2:6" ht="16">
      <c r="B4290" s="7" t="s">
        <v>3</v>
      </c>
      <c r="C4290" s="7"/>
      <c r="D4290" s="7"/>
      <c r="E4290" s="7"/>
      <c r="F4290" s="7"/>
    </row>
    <row r="4291" spans="2:6" ht="16">
      <c r="B4291" s="8"/>
      <c r="C4291" s="8"/>
      <c r="D4291" s="8"/>
      <c r="E4291" s="8"/>
    </row>
    <row r="4292" spans="2:6" ht="16">
      <c r="B4292" s="9" t="s">
        <v>4</v>
      </c>
      <c r="C4292" s="13" t="str">
        <f>C4235</f>
        <v>MEJORAMIENTO ESPACIO PUBLICO JJVV LUCILA GODOY ALCAYAGA</v>
      </c>
      <c r="D4292" s="13"/>
      <c r="E4292" s="13"/>
      <c r="F4292" s="14"/>
    </row>
    <row r="4293" spans="2:6" ht="16">
      <c r="B4293" s="12"/>
      <c r="C4293" s="8"/>
      <c r="D4293" s="8"/>
      <c r="E4293" s="8"/>
    </row>
    <row r="4294" spans="2:6" ht="16">
      <c r="B4294" s="9" t="s">
        <v>5</v>
      </c>
      <c r="C4294" s="13" t="s">
        <v>6</v>
      </c>
      <c r="D4294" s="13"/>
      <c r="E4294" s="13"/>
      <c r="F4294" s="14"/>
    </row>
    <row r="4295" spans="2:6" ht="16">
      <c r="B4295" s="9"/>
      <c r="C4295" s="13"/>
      <c r="D4295" s="13"/>
      <c r="E4295" s="13"/>
      <c r="F4295" s="14"/>
    </row>
    <row r="4296" spans="2:6" ht="16">
      <c r="B4296" s="9" t="s">
        <v>7</v>
      </c>
      <c r="C4296" s="13" t="str">
        <f>[1]LGA!A99</f>
        <v>6.9</v>
      </c>
      <c r="D4296" s="13"/>
      <c r="E4296" s="13"/>
      <c r="F4296" s="14"/>
    </row>
    <row r="4297" spans="2:6" ht="16">
      <c r="B4297" s="9" t="s">
        <v>8</v>
      </c>
      <c r="C4297" s="13" t="s">
        <v>263</v>
      </c>
      <c r="D4297" s="13"/>
      <c r="E4297" s="13"/>
      <c r="F4297" s="14"/>
    </row>
    <row r="4298" spans="2:6" ht="16">
      <c r="B4298" s="9" t="s">
        <v>10</v>
      </c>
      <c r="C4298" s="13" t="s">
        <v>261</v>
      </c>
      <c r="D4298" s="13"/>
      <c r="E4298" s="13"/>
      <c r="F4298" s="14"/>
    </row>
    <row r="4299" spans="2:6" ht="16">
      <c r="B4299" s="9" t="s">
        <v>12</v>
      </c>
      <c r="C4299" s="15">
        <f>C4242</f>
        <v>46024</v>
      </c>
      <c r="D4299" s="13"/>
      <c r="E4299" s="13"/>
      <c r="F4299" s="14"/>
    </row>
    <row r="4300" spans="2:6" ht="17" thickBot="1">
      <c r="B4300" s="8"/>
      <c r="C4300" s="8"/>
      <c r="D4300" s="8"/>
      <c r="E4300" s="8"/>
    </row>
    <row r="4301" spans="2:6" ht="15" thickTop="1" thickBot="1">
      <c r="B4301" s="16" t="s">
        <v>13</v>
      </c>
      <c r="C4301" s="17" t="s">
        <v>14</v>
      </c>
      <c r="D4301" s="17" t="s">
        <v>15</v>
      </c>
      <c r="E4301" s="17" t="s">
        <v>16</v>
      </c>
      <c r="F4301" s="18" t="s">
        <v>17</v>
      </c>
    </row>
    <row r="4302" spans="2:6" ht="14" thickTop="1">
      <c r="B4302" s="19"/>
      <c r="C4302" s="19"/>
      <c r="D4302" s="19"/>
      <c r="E4302" s="19"/>
      <c r="F4302" s="19"/>
    </row>
    <row r="4303" spans="2:6" ht="42">
      <c r="B4303" s="77" t="s">
        <v>264</v>
      </c>
      <c r="C4303" s="21" t="s">
        <v>56</v>
      </c>
      <c r="D4303" s="21">
        <v>1</v>
      </c>
      <c r="E4303" s="22">
        <v>1800000</v>
      </c>
      <c r="F4303" s="22">
        <f t="shared" ref="F4303:F4308" si="72">E4303*D4303</f>
        <v>1800000</v>
      </c>
    </row>
    <row r="4304" spans="2:6">
      <c r="B4304" s="20"/>
      <c r="C4304" s="21"/>
      <c r="D4304" s="21"/>
      <c r="E4304" s="22"/>
      <c r="F4304" s="22">
        <f t="shared" si="72"/>
        <v>0</v>
      </c>
    </row>
    <row r="4305" spans="2:6">
      <c r="B4305" s="20"/>
      <c r="C4305" s="21"/>
      <c r="D4305" s="21"/>
      <c r="E4305" s="22"/>
      <c r="F4305" s="22">
        <f t="shared" si="72"/>
        <v>0</v>
      </c>
    </row>
    <row r="4306" spans="2:6">
      <c r="B4306" s="20"/>
      <c r="C4306" s="21"/>
      <c r="D4306" s="21"/>
      <c r="E4306" s="22"/>
      <c r="F4306" s="22">
        <f t="shared" si="72"/>
        <v>0</v>
      </c>
    </row>
    <row r="4307" spans="2:6">
      <c r="B4307" s="20"/>
      <c r="C4307" s="21"/>
      <c r="D4307" s="21"/>
      <c r="E4307" s="22"/>
      <c r="F4307" s="22">
        <f t="shared" si="72"/>
        <v>0</v>
      </c>
    </row>
    <row r="4308" spans="2:6">
      <c r="B4308" s="20"/>
      <c r="C4308" s="21"/>
      <c r="D4308" s="21"/>
      <c r="E4308" s="22"/>
      <c r="F4308" s="22">
        <f t="shared" si="72"/>
        <v>0</v>
      </c>
    </row>
    <row r="4309" spans="2:6" ht="17" thickBot="1">
      <c r="B4309" s="6" t="s">
        <v>19</v>
      </c>
      <c r="C4309" s="8"/>
      <c r="D4309" s="8"/>
      <c r="E4309" s="8"/>
      <c r="F4309" s="23">
        <f>SUM(F4303:F4308)</f>
        <v>1800000</v>
      </c>
    </row>
    <row r="4310" spans="2:6" ht="17" thickBot="1">
      <c r="B4310" s="8"/>
      <c r="C4310" s="8"/>
      <c r="D4310" s="8"/>
      <c r="E4310" s="8"/>
    </row>
    <row r="4311" spans="2:6" ht="15" thickTop="1" thickBot="1">
      <c r="B4311" s="16" t="s">
        <v>20</v>
      </c>
      <c r="C4311" s="17" t="s">
        <v>14</v>
      </c>
      <c r="D4311" s="17" t="s">
        <v>15</v>
      </c>
      <c r="E4311" s="17" t="s">
        <v>16</v>
      </c>
      <c r="F4311" s="18" t="s">
        <v>17</v>
      </c>
    </row>
    <row r="4312" spans="2:6" ht="17" thickTop="1">
      <c r="B4312" s="8"/>
      <c r="C4312" s="8"/>
      <c r="D4312" s="8"/>
      <c r="E4312" s="8"/>
    </row>
    <row r="4313" spans="2:6">
      <c r="B4313" s="24" t="s">
        <v>21</v>
      </c>
      <c r="C4313" s="20" t="s">
        <v>22</v>
      </c>
      <c r="D4313" s="20">
        <v>4.3999999999999997E-2</v>
      </c>
      <c r="E4313" s="22">
        <v>27500</v>
      </c>
      <c r="F4313" s="25">
        <f>E4313*D4313</f>
        <v>1210</v>
      </c>
    </row>
    <row r="4314" spans="2:6">
      <c r="B4314" s="20" t="s">
        <v>23</v>
      </c>
      <c r="C4314" s="20" t="s">
        <v>22</v>
      </c>
      <c r="D4314" s="20">
        <v>4.3999999999999997E-2</v>
      </c>
      <c r="E4314" s="22">
        <v>15000</v>
      </c>
      <c r="F4314" s="25">
        <f>E4314*D4314</f>
        <v>660</v>
      </c>
    </row>
    <row r="4315" spans="2:6">
      <c r="B4315" s="20" t="s">
        <v>23</v>
      </c>
      <c r="C4315" s="20" t="s">
        <v>22</v>
      </c>
      <c r="D4315" s="20">
        <v>4.3999999999999997E-2</v>
      </c>
      <c r="E4315" s="22">
        <v>15000</v>
      </c>
      <c r="F4315" s="25">
        <f>E4315*D4315</f>
        <v>660</v>
      </c>
    </row>
    <row r="4316" spans="2:6" ht="16">
      <c r="B4316" s="26"/>
      <c r="C4316" s="26"/>
      <c r="D4316" s="26"/>
      <c r="E4316" s="26"/>
      <c r="F4316" s="25">
        <f>E4316*D4316</f>
        <v>0</v>
      </c>
    </row>
    <row r="4317" spans="2:6" ht="16">
      <c r="B4317" s="27" t="s">
        <v>25</v>
      </c>
      <c r="C4317" s="27" t="s">
        <v>26</v>
      </c>
      <c r="D4317" s="28">
        <v>0.32</v>
      </c>
      <c r="E4317" s="29">
        <f>SUM(E4313:E4316)*D4317</f>
        <v>18400</v>
      </c>
      <c r="F4317" s="25">
        <f>E4317*D4317</f>
        <v>5888</v>
      </c>
    </row>
    <row r="4318" spans="2:6" ht="16">
      <c r="B4318" s="8"/>
      <c r="C4318" s="8"/>
      <c r="D4318" s="8"/>
      <c r="E4318" s="8"/>
    </row>
    <row r="4319" spans="2:6" ht="17" thickBot="1">
      <c r="B4319" s="6" t="s">
        <v>27</v>
      </c>
      <c r="C4319" s="8"/>
      <c r="D4319" s="8"/>
      <c r="E4319" s="8"/>
      <c r="F4319" s="23">
        <f>SUM(F4313:F4318)</f>
        <v>8418</v>
      </c>
    </row>
    <row r="4320" spans="2:6" ht="17" thickBot="1">
      <c r="B4320" s="8"/>
      <c r="C4320" s="8"/>
      <c r="D4320" s="8"/>
      <c r="E4320" s="8"/>
    </row>
    <row r="4321" spans="2:6" ht="15" thickTop="1" thickBot="1">
      <c r="B4321" s="16" t="s">
        <v>28</v>
      </c>
      <c r="C4321" s="17" t="s">
        <v>14</v>
      </c>
      <c r="D4321" s="17" t="s">
        <v>15</v>
      </c>
      <c r="E4321" s="17" t="s">
        <v>16</v>
      </c>
      <c r="F4321" s="18" t="s">
        <v>17</v>
      </c>
    </row>
    <row r="4322" spans="2:6" ht="17" thickTop="1">
      <c r="B4322" s="8"/>
      <c r="C4322" s="8"/>
      <c r="D4322" s="8"/>
      <c r="E4322" s="8"/>
    </row>
    <row r="4323" spans="2:6">
      <c r="B4323" s="20" t="s">
        <v>82</v>
      </c>
      <c r="C4323" s="20" t="s">
        <v>56</v>
      </c>
      <c r="D4323" s="20">
        <v>2.5000000000000001E-2</v>
      </c>
      <c r="E4323" s="22">
        <v>25000</v>
      </c>
      <c r="F4323" s="25">
        <f>E4323*D4323</f>
        <v>625</v>
      </c>
    </row>
    <row r="4324" spans="2:6">
      <c r="B4324" s="20" t="s">
        <v>31</v>
      </c>
      <c r="C4324" s="20" t="s">
        <v>32</v>
      </c>
      <c r="D4324" s="71">
        <v>1E-3</v>
      </c>
      <c r="E4324" s="22">
        <v>25000</v>
      </c>
      <c r="F4324" s="25">
        <f>E4324*D4324</f>
        <v>25</v>
      </c>
    </row>
    <row r="4325" spans="2:6">
      <c r="B4325" s="20" t="s">
        <v>253</v>
      </c>
      <c r="C4325" s="20" t="s">
        <v>32</v>
      </c>
      <c r="D4325" s="71">
        <v>1</v>
      </c>
      <c r="E4325" s="22">
        <v>190000</v>
      </c>
      <c r="F4325" s="25">
        <f>E4325*D4325</f>
        <v>190000</v>
      </c>
    </row>
    <row r="4326" spans="2:6" ht="16">
      <c r="B4326" s="26"/>
      <c r="C4326" s="26"/>
      <c r="D4326" s="26"/>
      <c r="E4326" s="26"/>
      <c r="F4326" s="25">
        <f>E4326*D4326</f>
        <v>0</v>
      </c>
    </row>
    <row r="4327" spans="2:6" ht="16">
      <c r="B4327" s="30"/>
      <c r="C4327" s="26"/>
      <c r="D4327" s="26"/>
      <c r="E4327" s="26"/>
      <c r="F4327" s="25">
        <f>E4327*D4327</f>
        <v>0</v>
      </c>
    </row>
    <row r="4328" spans="2:6" ht="16">
      <c r="B4328" s="8"/>
      <c r="C4328" s="8"/>
      <c r="D4328" s="8"/>
      <c r="E4328" s="8"/>
    </row>
    <row r="4329" spans="2:6" ht="14" thickBot="1">
      <c r="B4329" s="19" t="s">
        <v>33</v>
      </c>
      <c r="C4329" s="19"/>
      <c r="D4329" s="19"/>
      <c r="E4329" s="19"/>
      <c r="F4329" s="23">
        <f>SUM(F4323:F4328)</f>
        <v>190650</v>
      </c>
    </row>
    <row r="4330" spans="2:6" ht="16">
      <c r="B4330" s="8"/>
      <c r="C4330" s="8"/>
      <c r="D4330" s="8"/>
      <c r="E4330" s="8"/>
    </row>
    <row r="4331" spans="2:6" ht="17" thickBot="1">
      <c r="B4331" s="8"/>
      <c r="C4331" s="8"/>
      <c r="D4331" s="8"/>
      <c r="E4331" s="8"/>
    </row>
    <row r="4332" spans="2:6" ht="17" thickBot="1">
      <c r="B4332" s="31" t="s">
        <v>34</v>
      </c>
      <c r="C4332" s="13"/>
      <c r="D4332" s="13"/>
      <c r="E4332" s="13"/>
      <c r="F4332" s="32">
        <f>F4309+F4319+F4329</f>
        <v>1999068</v>
      </c>
    </row>
    <row r="4333" spans="2:6" ht="17" thickBot="1">
      <c r="B4333" s="31" t="s">
        <v>35</v>
      </c>
      <c r="C4333" s="13"/>
      <c r="D4333" s="13"/>
      <c r="E4333" s="33">
        <v>0.1</v>
      </c>
      <c r="F4333" s="32">
        <f>F4332*E4333</f>
        <v>199906.80000000002</v>
      </c>
    </row>
    <row r="4334" spans="2:6" ht="17" thickBot="1">
      <c r="B4334" s="31" t="s">
        <v>36</v>
      </c>
      <c r="C4334" s="13"/>
      <c r="D4334" s="13"/>
      <c r="E4334" s="33">
        <v>0.1</v>
      </c>
      <c r="F4334" s="32">
        <f>F4332*E4334</f>
        <v>199906.80000000002</v>
      </c>
    </row>
    <row r="4335" spans="2:6" ht="17" thickBot="1">
      <c r="B4335" s="34" t="s">
        <v>37</v>
      </c>
      <c r="C4335" s="35"/>
      <c r="D4335" s="35"/>
      <c r="E4335" s="35"/>
      <c r="F4335" s="32">
        <f>SUM(F4332:F4334)</f>
        <v>2398881.5999999996</v>
      </c>
    </row>
    <row r="4336" spans="2:6" ht="17" thickBot="1">
      <c r="B4336" s="36"/>
      <c r="C4336" s="8"/>
      <c r="D4336" s="8"/>
      <c r="E4336" s="8"/>
    </row>
    <row r="4337" spans="2:6" ht="18" thickTop="1" thickBot="1">
      <c r="B4337" s="37" t="s">
        <v>38</v>
      </c>
      <c r="C4337" s="8"/>
      <c r="D4337" s="8"/>
      <c r="E4337" s="8"/>
    </row>
    <row r="4338" spans="2:6" ht="18" thickTop="1" thickBot="1">
      <c r="B4338" s="8"/>
      <c r="C4338" s="8"/>
      <c r="D4338" s="8"/>
      <c r="E4338" s="8"/>
    </row>
    <row r="4339" spans="2:6" ht="17" thickTop="1">
      <c r="B4339" s="38"/>
      <c r="C4339" s="13"/>
      <c r="D4339" s="13"/>
      <c r="E4339" s="39"/>
      <c r="F4339" s="40"/>
    </row>
    <row r="4340" spans="2:6" ht="16">
      <c r="B4340" s="38"/>
      <c r="C4340" s="13"/>
      <c r="D4340" s="13"/>
      <c r="E4340" s="41"/>
      <c r="F4340" s="42"/>
    </row>
    <row r="4341" spans="2:6" ht="16">
      <c r="B4341" s="38"/>
      <c r="C4341" s="13"/>
      <c r="D4341" s="13"/>
      <c r="E4341" s="41"/>
      <c r="F4341" s="42"/>
    </row>
    <row r="4342" spans="2:6" ht="17" thickBot="1">
      <c r="B4342" s="54"/>
      <c r="C4342" s="35"/>
      <c r="D4342" s="35"/>
      <c r="E4342" s="44"/>
      <c r="F4342" s="45"/>
    </row>
    <row r="4343" spans="2:6" ht="17" thickTop="1">
      <c r="B4343" s="46"/>
      <c r="C4343" s="46"/>
      <c r="D4343" s="46"/>
      <c r="E4343" s="47"/>
      <c r="F4343" s="47"/>
    </row>
    <row r="4344" spans="2:6" ht="14" thickBot="1">
      <c r="B4344" s="1" t="s">
        <v>0</v>
      </c>
      <c r="C4344" s="1"/>
    </row>
    <row r="4345" spans="2:6" ht="17" thickBot="1">
      <c r="B4345" s="1" t="s">
        <v>1</v>
      </c>
      <c r="C4345" s="1"/>
      <c r="E4345" s="4" t="s">
        <v>2</v>
      </c>
      <c r="F4345" s="5"/>
    </row>
    <row r="4346" spans="2:6">
      <c r="B4346" s="6"/>
    </row>
    <row r="4347" spans="2:6" ht="16">
      <c r="B4347" s="7" t="s">
        <v>3</v>
      </c>
      <c r="C4347" s="7"/>
      <c r="D4347" s="7"/>
      <c r="E4347" s="7"/>
      <c r="F4347" s="7"/>
    </row>
    <row r="4348" spans="2:6" ht="16">
      <c r="B4348" s="8"/>
      <c r="C4348" s="8"/>
      <c r="D4348" s="8"/>
      <c r="E4348" s="8"/>
    </row>
    <row r="4349" spans="2:6" ht="16">
      <c r="B4349" s="9" t="s">
        <v>4</v>
      </c>
      <c r="C4349" s="13" t="str">
        <f>C4292</f>
        <v>MEJORAMIENTO ESPACIO PUBLICO JJVV LUCILA GODOY ALCAYAGA</v>
      </c>
      <c r="D4349" s="13"/>
      <c r="E4349" s="13"/>
      <c r="F4349" s="14"/>
    </row>
    <row r="4350" spans="2:6" ht="16">
      <c r="B4350" s="12"/>
      <c r="C4350" s="8"/>
      <c r="D4350" s="8"/>
      <c r="E4350" s="8"/>
    </row>
    <row r="4351" spans="2:6" ht="16">
      <c r="B4351" s="9" t="s">
        <v>5</v>
      </c>
      <c r="C4351" s="13" t="s">
        <v>6</v>
      </c>
      <c r="D4351" s="13"/>
      <c r="E4351" s="13"/>
      <c r="F4351" s="14"/>
    </row>
    <row r="4352" spans="2:6" ht="16">
      <c r="B4352" s="9"/>
      <c r="C4352" s="13"/>
      <c r="D4352" s="13"/>
      <c r="E4352" s="13"/>
      <c r="F4352" s="14"/>
    </row>
    <row r="4353" spans="2:6" ht="16">
      <c r="B4353" s="9" t="s">
        <v>7</v>
      </c>
      <c r="C4353" s="13" t="str">
        <f>[1]LGA!A100</f>
        <v>6.10</v>
      </c>
      <c r="D4353" s="13"/>
      <c r="E4353" s="13"/>
      <c r="F4353" s="14"/>
    </row>
    <row r="4354" spans="2:6" ht="16">
      <c r="B4354" s="9" t="s">
        <v>8</v>
      </c>
      <c r="C4354" s="13" t="s">
        <v>265</v>
      </c>
      <c r="D4354" s="13"/>
      <c r="E4354" s="13"/>
      <c r="F4354" s="14"/>
    </row>
    <row r="4355" spans="2:6" ht="16">
      <c r="B4355" s="9" t="s">
        <v>10</v>
      </c>
      <c r="C4355" s="13" t="s">
        <v>261</v>
      </c>
      <c r="D4355" s="13"/>
      <c r="E4355" s="13"/>
      <c r="F4355" s="14"/>
    </row>
    <row r="4356" spans="2:6" ht="16">
      <c r="B4356" s="9" t="s">
        <v>12</v>
      </c>
      <c r="C4356" s="15">
        <f>C4299</f>
        <v>46024</v>
      </c>
      <c r="D4356" s="13"/>
      <c r="E4356" s="13"/>
      <c r="F4356" s="14"/>
    </row>
    <row r="4357" spans="2:6" ht="17" thickBot="1">
      <c r="B4357" s="8"/>
      <c r="C4357" s="8"/>
      <c r="D4357" s="8"/>
      <c r="E4357" s="8"/>
    </row>
    <row r="4358" spans="2:6" ht="15" thickTop="1" thickBot="1">
      <c r="B4358" s="16" t="s">
        <v>13</v>
      </c>
      <c r="C4358" s="17" t="s">
        <v>14</v>
      </c>
      <c r="D4358" s="17" t="s">
        <v>15</v>
      </c>
      <c r="E4358" s="17" t="s">
        <v>16</v>
      </c>
      <c r="F4358" s="18" t="s">
        <v>17</v>
      </c>
    </row>
    <row r="4359" spans="2:6" ht="14" thickTop="1">
      <c r="B4359" s="19"/>
      <c r="C4359" s="19"/>
      <c r="D4359" s="19"/>
      <c r="E4359" s="19"/>
      <c r="F4359" s="19"/>
    </row>
    <row r="4360" spans="2:6" ht="28">
      <c r="B4360" s="77" t="s">
        <v>266</v>
      </c>
      <c r="C4360" s="21" t="s">
        <v>56</v>
      </c>
      <c r="D4360" s="21">
        <v>1</v>
      </c>
      <c r="E4360" s="22">
        <v>1500000</v>
      </c>
      <c r="F4360" s="22">
        <f t="shared" ref="F4360:F4365" si="73">E4360*D4360</f>
        <v>1500000</v>
      </c>
    </row>
    <row r="4361" spans="2:6">
      <c r="B4361" s="20"/>
      <c r="C4361" s="21"/>
      <c r="D4361" s="21"/>
      <c r="E4361" s="22"/>
      <c r="F4361" s="22">
        <f t="shared" si="73"/>
        <v>0</v>
      </c>
    </row>
    <row r="4362" spans="2:6">
      <c r="B4362" s="20"/>
      <c r="C4362" s="21"/>
      <c r="D4362" s="21"/>
      <c r="E4362" s="22"/>
      <c r="F4362" s="22">
        <f t="shared" si="73"/>
        <v>0</v>
      </c>
    </row>
    <row r="4363" spans="2:6">
      <c r="B4363" s="20"/>
      <c r="C4363" s="21"/>
      <c r="D4363" s="21"/>
      <c r="E4363" s="22"/>
      <c r="F4363" s="22">
        <f t="shared" si="73"/>
        <v>0</v>
      </c>
    </row>
    <row r="4364" spans="2:6">
      <c r="B4364" s="20"/>
      <c r="C4364" s="21"/>
      <c r="D4364" s="21"/>
      <c r="E4364" s="22"/>
      <c r="F4364" s="22">
        <f t="shared" si="73"/>
        <v>0</v>
      </c>
    </row>
    <row r="4365" spans="2:6">
      <c r="B4365" s="20"/>
      <c r="C4365" s="21"/>
      <c r="D4365" s="21"/>
      <c r="E4365" s="22"/>
      <c r="F4365" s="22">
        <f t="shared" si="73"/>
        <v>0</v>
      </c>
    </row>
    <row r="4366" spans="2:6" ht="17" thickBot="1">
      <c r="B4366" s="6" t="s">
        <v>19</v>
      </c>
      <c r="C4366" s="8"/>
      <c r="D4366" s="8"/>
      <c r="E4366" s="8"/>
      <c r="F4366" s="23">
        <f>SUM(F4360:F4365)</f>
        <v>1500000</v>
      </c>
    </row>
    <row r="4367" spans="2:6" ht="17" thickBot="1">
      <c r="B4367" s="8"/>
      <c r="C4367" s="8"/>
      <c r="D4367" s="8"/>
      <c r="E4367" s="8"/>
    </row>
    <row r="4368" spans="2:6" ht="15" thickTop="1" thickBot="1">
      <c r="B4368" s="16" t="s">
        <v>20</v>
      </c>
      <c r="C4368" s="17" t="s">
        <v>14</v>
      </c>
      <c r="D4368" s="17" t="s">
        <v>15</v>
      </c>
      <c r="E4368" s="17" t="s">
        <v>16</v>
      </c>
      <c r="F4368" s="18" t="s">
        <v>17</v>
      </c>
    </row>
    <row r="4369" spans="2:6" ht="17" thickTop="1">
      <c r="B4369" s="8"/>
      <c r="C4369" s="8"/>
      <c r="D4369" s="8"/>
      <c r="E4369" s="8"/>
    </row>
    <row r="4370" spans="2:6">
      <c r="B4370" s="24" t="s">
        <v>21</v>
      </c>
      <c r="C4370" s="20" t="s">
        <v>22</v>
      </c>
      <c r="D4370" s="20">
        <v>4.3999999999999997E-2</v>
      </c>
      <c r="E4370" s="22">
        <v>27500</v>
      </c>
      <c r="F4370" s="25">
        <f>E4370*D4370</f>
        <v>1210</v>
      </c>
    </row>
    <row r="4371" spans="2:6">
      <c r="B4371" s="20" t="s">
        <v>23</v>
      </c>
      <c r="C4371" s="20" t="s">
        <v>22</v>
      </c>
      <c r="D4371" s="20">
        <v>4.3999999999999997E-2</v>
      </c>
      <c r="E4371" s="22">
        <v>15000</v>
      </c>
      <c r="F4371" s="25">
        <f>E4371*D4371</f>
        <v>660</v>
      </c>
    </row>
    <row r="4372" spans="2:6">
      <c r="B4372" s="20" t="s">
        <v>23</v>
      </c>
      <c r="C4372" s="20" t="s">
        <v>22</v>
      </c>
      <c r="D4372" s="20">
        <v>4.3999999999999997E-2</v>
      </c>
      <c r="E4372" s="22">
        <v>15000</v>
      </c>
      <c r="F4372" s="25">
        <f>E4372*D4372</f>
        <v>660</v>
      </c>
    </row>
    <row r="4373" spans="2:6" ht="16">
      <c r="B4373" s="26"/>
      <c r="C4373" s="26"/>
      <c r="D4373" s="26"/>
      <c r="E4373" s="26"/>
      <c r="F4373" s="25">
        <f>E4373*D4373</f>
        <v>0</v>
      </c>
    </row>
    <row r="4374" spans="2:6" ht="16">
      <c r="B4374" s="27" t="s">
        <v>25</v>
      </c>
      <c r="C4374" s="27" t="s">
        <v>26</v>
      </c>
      <c r="D4374" s="28">
        <v>0.32</v>
      </c>
      <c r="E4374" s="29">
        <f>SUM(E4370:E4373)*D4374</f>
        <v>18400</v>
      </c>
      <c r="F4374" s="25">
        <f>E4374*D4374</f>
        <v>5888</v>
      </c>
    </row>
    <row r="4375" spans="2:6" ht="16">
      <c r="B4375" s="8"/>
      <c r="C4375" s="8"/>
      <c r="D4375" s="8"/>
      <c r="E4375" s="8"/>
    </row>
    <row r="4376" spans="2:6" ht="17" thickBot="1">
      <c r="B4376" s="6" t="s">
        <v>27</v>
      </c>
      <c r="C4376" s="8"/>
      <c r="D4376" s="8"/>
      <c r="E4376" s="8"/>
      <c r="F4376" s="23">
        <f>SUM(F4370:F4375)</f>
        <v>8418</v>
      </c>
    </row>
    <row r="4377" spans="2:6" ht="17" thickBot="1">
      <c r="B4377" s="8"/>
      <c r="C4377" s="8"/>
      <c r="D4377" s="8"/>
      <c r="E4377" s="8"/>
    </row>
    <row r="4378" spans="2:6" ht="15" thickTop="1" thickBot="1">
      <c r="B4378" s="16" t="s">
        <v>28</v>
      </c>
      <c r="C4378" s="17" t="s">
        <v>14</v>
      </c>
      <c r="D4378" s="17" t="s">
        <v>15</v>
      </c>
      <c r="E4378" s="17" t="s">
        <v>16</v>
      </c>
      <c r="F4378" s="18" t="s">
        <v>17</v>
      </c>
    </row>
    <row r="4379" spans="2:6" ht="17" thickTop="1">
      <c r="B4379" s="8"/>
      <c r="C4379" s="8"/>
      <c r="D4379" s="8"/>
      <c r="E4379" s="8"/>
    </row>
    <row r="4380" spans="2:6">
      <c r="B4380" s="20" t="s">
        <v>82</v>
      </c>
      <c r="C4380" s="20" t="s">
        <v>56</v>
      </c>
      <c r="D4380" s="20">
        <v>2.5000000000000001E-2</v>
      </c>
      <c r="E4380" s="22">
        <v>25000</v>
      </c>
      <c r="F4380" s="25">
        <f>E4380*D4380</f>
        <v>625</v>
      </c>
    </row>
    <row r="4381" spans="2:6">
      <c r="B4381" s="20" t="s">
        <v>31</v>
      </c>
      <c r="C4381" s="20" t="s">
        <v>32</v>
      </c>
      <c r="D4381" s="71">
        <v>1E-3</v>
      </c>
      <c r="E4381" s="22">
        <v>25000</v>
      </c>
      <c r="F4381" s="25">
        <f>E4381*D4381</f>
        <v>25</v>
      </c>
    </row>
    <row r="4382" spans="2:6">
      <c r="B4382" s="20" t="s">
        <v>253</v>
      </c>
      <c r="C4382" s="20" t="s">
        <v>32</v>
      </c>
      <c r="D4382" s="71">
        <v>1</v>
      </c>
      <c r="E4382" s="22">
        <v>190000</v>
      </c>
      <c r="F4382" s="25">
        <f>E4382*D4382</f>
        <v>190000</v>
      </c>
    </row>
    <row r="4383" spans="2:6" ht="16">
      <c r="B4383" s="26"/>
      <c r="C4383" s="26"/>
      <c r="D4383" s="26"/>
      <c r="E4383" s="26"/>
      <c r="F4383" s="25">
        <f>E4383*D4383</f>
        <v>0</v>
      </c>
    </row>
    <row r="4384" spans="2:6" ht="16">
      <c r="B4384" s="30"/>
      <c r="C4384" s="26"/>
      <c r="D4384" s="26"/>
      <c r="E4384" s="26"/>
      <c r="F4384" s="25">
        <f>E4384*D4384</f>
        <v>0</v>
      </c>
    </row>
    <row r="4385" spans="2:6" ht="16">
      <c r="B4385" s="8"/>
      <c r="C4385" s="8"/>
      <c r="D4385" s="8"/>
      <c r="E4385" s="8"/>
    </row>
    <row r="4386" spans="2:6" ht="14" thickBot="1">
      <c r="B4386" s="19" t="s">
        <v>33</v>
      </c>
      <c r="C4386" s="19"/>
      <c r="D4386" s="19"/>
      <c r="E4386" s="19"/>
      <c r="F4386" s="23">
        <f>SUM(F4380:F4385)</f>
        <v>190650</v>
      </c>
    </row>
    <row r="4387" spans="2:6" ht="16">
      <c r="B4387" s="8"/>
      <c r="C4387" s="8"/>
      <c r="D4387" s="8"/>
      <c r="E4387" s="8"/>
    </row>
    <row r="4388" spans="2:6" ht="17" thickBot="1">
      <c r="B4388" s="8"/>
      <c r="C4388" s="8"/>
      <c r="D4388" s="8"/>
      <c r="E4388" s="8"/>
    </row>
    <row r="4389" spans="2:6" ht="17" thickBot="1">
      <c r="B4389" s="31" t="s">
        <v>34</v>
      </c>
      <c r="C4389" s="13"/>
      <c r="D4389" s="13"/>
      <c r="E4389" s="13"/>
      <c r="F4389" s="32">
        <f>F4366+F4376+F4386</f>
        <v>1699068</v>
      </c>
    </row>
    <row r="4390" spans="2:6" ht="17" thickBot="1">
      <c r="B4390" s="31" t="s">
        <v>35</v>
      </c>
      <c r="C4390" s="13"/>
      <c r="D4390" s="13"/>
      <c r="E4390" s="33">
        <v>0.1</v>
      </c>
      <c r="F4390" s="32">
        <f>F4389*E4390</f>
        <v>169906.80000000002</v>
      </c>
    </row>
    <row r="4391" spans="2:6" ht="17" thickBot="1">
      <c r="B4391" s="31" t="s">
        <v>36</v>
      </c>
      <c r="C4391" s="13"/>
      <c r="D4391" s="13"/>
      <c r="E4391" s="33">
        <v>0.1</v>
      </c>
      <c r="F4391" s="32">
        <f>F4389*E4391</f>
        <v>169906.80000000002</v>
      </c>
    </row>
    <row r="4392" spans="2:6" ht="17" thickBot="1">
      <c r="B4392" s="34" t="s">
        <v>37</v>
      </c>
      <c r="C4392" s="35"/>
      <c r="D4392" s="35"/>
      <c r="E4392" s="35"/>
      <c r="F4392" s="32">
        <f>SUM(F4389:F4391)</f>
        <v>2038881.6</v>
      </c>
    </row>
    <row r="4393" spans="2:6" ht="17" thickBot="1">
      <c r="B4393" s="36"/>
      <c r="C4393" s="8"/>
      <c r="D4393" s="8"/>
      <c r="E4393" s="8"/>
    </row>
    <row r="4394" spans="2:6" ht="18" thickTop="1" thickBot="1">
      <c r="B4394" s="37" t="s">
        <v>38</v>
      </c>
      <c r="C4394" s="8"/>
      <c r="D4394" s="8"/>
      <c r="E4394" s="8"/>
    </row>
    <row r="4395" spans="2:6" ht="18" thickTop="1" thickBot="1">
      <c r="B4395" s="8"/>
      <c r="C4395" s="8"/>
      <c r="D4395" s="8"/>
      <c r="E4395" s="8"/>
    </row>
    <row r="4396" spans="2:6" ht="17" thickTop="1">
      <c r="B4396" s="38"/>
      <c r="C4396" s="13"/>
      <c r="D4396" s="13"/>
      <c r="E4396" s="39"/>
      <c r="F4396" s="40"/>
    </row>
    <row r="4397" spans="2:6" ht="16">
      <c r="B4397" s="38"/>
      <c r="C4397" s="13"/>
      <c r="D4397" s="13"/>
      <c r="E4397" s="41"/>
      <c r="F4397" s="42"/>
    </row>
    <row r="4398" spans="2:6" ht="16">
      <c r="B4398" s="38"/>
      <c r="C4398" s="13"/>
      <c r="D4398" s="13"/>
      <c r="E4398" s="41"/>
      <c r="F4398" s="42"/>
    </row>
    <row r="4399" spans="2:6" ht="17" thickBot="1">
      <c r="B4399" s="54"/>
      <c r="C4399" s="35"/>
      <c r="D4399" s="35"/>
      <c r="E4399" s="44"/>
      <c r="F4399" s="45"/>
    </row>
    <row r="4400" spans="2:6" ht="17" thickTop="1">
      <c r="B4400" s="46"/>
      <c r="C4400" s="46"/>
      <c r="D4400" s="46"/>
      <c r="E4400" s="47"/>
      <c r="F4400" s="47"/>
    </row>
    <row r="4401" spans="2:6" ht="14" thickBot="1">
      <c r="B4401" s="1" t="s">
        <v>0</v>
      </c>
      <c r="C4401" s="1"/>
    </row>
    <row r="4402" spans="2:6" ht="17" thickBot="1">
      <c r="B4402" s="1" t="s">
        <v>1</v>
      </c>
      <c r="C4402" s="1"/>
      <c r="E4402" s="4" t="s">
        <v>2</v>
      </c>
      <c r="F4402" s="5"/>
    </row>
    <row r="4404" spans="2:6">
      <c r="B4404" s="6"/>
    </row>
    <row r="4405" spans="2:6" ht="16">
      <c r="B4405" s="7" t="s">
        <v>3</v>
      </c>
      <c r="C4405" s="7"/>
      <c r="D4405" s="7"/>
      <c r="E4405" s="7"/>
      <c r="F4405" s="7"/>
    </row>
    <row r="4406" spans="2:6" ht="16">
      <c r="B4406" s="8"/>
      <c r="C4406" s="8"/>
      <c r="D4406" s="8"/>
      <c r="E4406" s="8"/>
    </row>
    <row r="4407" spans="2:6" ht="16">
      <c r="B4407" s="9" t="s">
        <v>4</v>
      </c>
      <c r="C4407" s="13" t="str">
        <f>C4349</f>
        <v>MEJORAMIENTO ESPACIO PUBLICO JJVV LUCILA GODOY ALCAYAGA</v>
      </c>
      <c r="D4407" s="13"/>
      <c r="E4407" s="13"/>
      <c r="F4407" s="14"/>
    </row>
    <row r="4408" spans="2:6" ht="16">
      <c r="B4408" s="12"/>
      <c r="C4408" s="8"/>
      <c r="D4408" s="8"/>
      <c r="E4408" s="8"/>
    </row>
    <row r="4409" spans="2:6" ht="16">
      <c r="B4409" s="9" t="s">
        <v>5</v>
      </c>
      <c r="C4409" s="13" t="s">
        <v>6</v>
      </c>
      <c r="D4409" s="13"/>
      <c r="E4409" s="13"/>
      <c r="F4409" s="14"/>
    </row>
    <row r="4410" spans="2:6" ht="16">
      <c r="B4410" s="9"/>
      <c r="C4410" s="13"/>
      <c r="D4410" s="13"/>
      <c r="E4410" s="13"/>
      <c r="F4410" s="14"/>
    </row>
    <row r="4411" spans="2:6" ht="16">
      <c r="B4411" s="9" t="s">
        <v>7</v>
      </c>
      <c r="C4411" s="13" t="str">
        <f>[1]LGA!A103</f>
        <v>7.1.1</v>
      </c>
      <c r="D4411" s="13"/>
      <c r="E4411" s="13"/>
      <c r="F4411" s="14"/>
    </row>
    <row r="4412" spans="2:6" ht="16">
      <c r="B4412" s="9" t="s">
        <v>8</v>
      </c>
      <c r="C4412" s="13" t="s">
        <v>267</v>
      </c>
      <c r="D4412" s="13"/>
      <c r="E4412" s="13"/>
      <c r="F4412" s="14"/>
    </row>
    <row r="4413" spans="2:6" ht="16">
      <c r="B4413" s="9" t="s">
        <v>10</v>
      </c>
      <c r="C4413" s="13" t="s">
        <v>261</v>
      </c>
      <c r="D4413" s="13"/>
      <c r="E4413" s="13"/>
      <c r="F4413" s="14"/>
    </row>
    <row r="4414" spans="2:6" ht="16">
      <c r="B4414" s="9" t="s">
        <v>12</v>
      </c>
      <c r="C4414" s="15">
        <f>C4356</f>
        <v>46024</v>
      </c>
      <c r="D4414" s="13"/>
      <c r="E4414" s="13"/>
      <c r="F4414" s="14"/>
    </row>
    <row r="4415" spans="2:6" ht="17" thickBot="1">
      <c r="B4415" s="8"/>
      <c r="C4415" s="8"/>
      <c r="D4415" s="8"/>
      <c r="E4415" s="8"/>
    </row>
    <row r="4416" spans="2:6" ht="15" thickTop="1" thickBot="1">
      <c r="B4416" s="16" t="s">
        <v>13</v>
      </c>
      <c r="C4416" s="17" t="s">
        <v>14</v>
      </c>
      <c r="D4416" s="17" t="s">
        <v>15</v>
      </c>
      <c r="E4416" s="17" t="s">
        <v>16</v>
      </c>
      <c r="F4416" s="18" t="s">
        <v>17</v>
      </c>
    </row>
    <row r="4417" spans="2:6" ht="14" thickTop="1">
      <c r="B4417" s="19"/>
      <c r="C4417" s="19"/>
      <c r="D4417" s="19"/>
      <c r="E4417" s="19"/>
      <c r="F4417" s="19"/>
    </row>
    <row r="4418" spans="2:6" ht="14">
      <c r="B4418" s="77" t="s">
        <v>268</v>
      </c>
      <c r="C4418" s="21" t="s">
        <v>261</v>
      </c>
      <c r="D4418" s="21">
        <v>1</v>
      </c>
      <c r="E4418" s="22">
        <v>890000</v>
      </c>
      <c r="F4418" s="22">
        <f t="shared" ref="F4418:F4423" si="74">E4418*D4418</f>
        <v>890000</v>
      </c>
    </row>
    <row r="4419" spans="2:6">
      <c r="B4419" s="77"/>
      <c r="C4419" s="21"/>
      <c r="D4419" s="21"/>
      <c r="E4419" s="22"/>
      <c r="F4419" s="22">
        <f t="shared" si="74"/>
        <v>0</v>
      </c>
    </row>
    <row r="4420" spans="2:6">
      <c r="B4420" s="77"/>
      <c r="C4420" s="21"/>
      <c r="D4420" s="21"/>
      <c r="E4420" s="22"/>
      <c r="F4420" s="22">
        <f t="shared" si="74"/>
        <v>0</v>
      </c>
    </row>
    <row r="4421" spans="2:6">
      <c r="B4421" s="77"/>
      <c r="C4421" s="21"/>
      <c r="D4421" s="21"/>
      <c r="E4421" s="22"/>
      <c r="F4421" s="22">
        <f t="shared" si="74"/>
        <v>0</v>
      </c>
    </row>
    <row r="4422" spans="2:6">
      <c r="B4422" s="77"/>
      <c r="C4422" s="21"/>
      <c r="D4422" s="21"/>
      <c r="E4422" s="22"/>
      <c r="F4422" s="22">
        <f t="shared" si="74"/>
        <v>0</v>
      </c>
    </row>
    <row r="4423" spans="2:6">
      <c r="B4423" s="20"/>
      <c r="C4423" s="21"/>
      <c r="D4423" s="21"/>
      <c r="E4423" s="22"/>
      <c r="F4423" s="22">
        <f t="shared" si="74"/>
        <v>0</v>
      </c>
    </row>
    <row r="4424" spans="2:6" ht="17" thickBot="1">
      <c r="B4424" s="6" t="s">
        <v>19</v>
      </c>
      <c r="C4424" s="8"/>
      <c r="D4424" s="8"/>
      <c r="E4424" s="8"/>
      <c r="F4424" s="23">
        <f>SUM(F4418:F4423)</f>
        <v>890000</v>
      </c>
    </row>
    <row r="4425" spans="2:6" ht="17" thickBot="1">
      <c r="B4425" s="8"/>
      <c r="C4425" s="8"/>
      <c r="D4425" s="8"/>
      <c r="E4425" s="8"/>
    </row>
    <row r="4426" spans="2:6" ht="15" thickTop="1" thickBot="1">
      <c r="B4426" s="16" t="s">
        <v>20</v>
      </c>
      <c r="C4426" s="17" t="s">
        <v>14</v>
      </c>
      <c r="D4426" s="17" t="s">
        <v>15</v>
      </c>
      <c r="E4426" s="17" t="s">
        <v>16</v>
      </c>
      <c r="F4426" s="18" t="s">
        <v>17</v>
      </c>
    </row>
    <row r="4427" spans="2:6" ht="17" thickTop="1">
      <c r="B4427" s="8"/>
      <c r="C4427" s="8"/>
      <c r="D4427" s="8"/>
      <c r="E4427" s="8"/>
    </row>
    <row r="4428" spans="2:6">
      <c r="B4428" s="24" t="s">
        <v>269</v>
      </c>
      <c r="C4428" s="20" t="s">
        <v>22</v>
      </c>
      <c r="D4428" s="20"/>
      <c r="E4428" s="22"/>
      <c r="F4428" s="25">
        <f>E4428*D4428</f>
        <v>0</v>
      </c>
    </row>
    <row r="4429" spans="2:6">
      <c r="B4429" s="20" t="s">
        <v>270</v>
      </c>
      <c r="C4429" s="20" t="s">
        <v>22</v>
      </c>
      <c r="D4429" s="20"/>
      <c r="E4429" s="22"/>
      <c r="F4429" s="25">
        <f>E4429*D4429</f>
        <v>0</v>
      </c>
    </row>
    <row r="4430" spans="2:6" ht="16">
      <c r="B4430" s="26"/>
      <c r="C4430" s="26"/>
      <c r="D4430" s="26"/>
      <c r="E4430" s="26"/>
      <c r="F4430" s="25">
        <f>E4430*D4430</f>
        <v>0</v>
      </c>
    </row>
    <row r="4431" spans="2:6" ht="16">
      <c r="B4431" s="26"/>
      <c r="C4431" s="26"/>
      <c r="D4431" s="26"/>
      <c r="E4431" s="26"/>
      <c r="F4431" s="25">
        <f>E4431*D4431</f>
        <v>0</v>
      </c>
    </row>
    <row r="4432" spans="2:6" ht="16">
      <c r="B4432" s="27" t="s">
        <v>25</v>
      </c>
      <c r="C4432" s="27" t="s">
        <v>26</v>
      </c>
      <c r="D4432" s="28">
        <v>0.32</v>
      </c>
      <c r="E4432" s="29">
        <f>SUM(E4428:E4431)*D4432</f>
        <v>0</v>
      </c>
      <c r="F4432" s="25">
        <f>E4432*D4432</f>
        <v>0</v>
      </c>
    </row>
    <row r="4433" spans="2:6" ht="16">
      <c r="B4433" s="8"/>
      <c r="C4433" s="8"/>
      <c r="D4433" s="8"/>
      <c r="E4433" s="8"/>
    </row>
    <row r="4434" spans="2:6" ht="17" thickBot="1">
      <c r="B4434" s="6" t="s">
        <v>27</v>
      </c>
      <c r="C4434" s="8"/>
      <c r="D4434" s="8"/>
      <c r="E4434" s="8"/>
      <c r="F4434" s="23">
        <f>SUM(F4428:F4433)</f>
        <v>0</v>
      </c>
    </row>
    <row r="4435" spans="2:6" ht="17" thickBot="1">
      <c r="B4435" s="8"/>
      <c r="C4435" s="8"/>
      <c r="D4435" s="8"/>
      <c r="E4435" s="8"/>
    </row>
    <row r="4436" spans="2:6" ht="15" thickTop="1" thickBot="1">
      <c r="B4436" s="16" t="s">
        <v>28</v>
      </c>
      <c r="C4436" s="17" t="s">
        <v>14</v>
      </c>
      <c r="D4436" s="17" t="s">
        <v>15</v>
      </c>
      <c r="E4436" s="17" t="s">
        <v>16</v>
      </c>
      <c r="F4436" s="18" t="s">
        <v>17</v>
      </c>
    </row>
    <row r="4437" spans="2:6" ht="17" thickTop="1">
      <c r="B4437" s="8"/>
      <c r="C4437" s="8"/>
      <c r="D4437" s="8"/>
      <c r="E4437" s="8"/>
    </row>
    <row r="4438" spans="2:6">
      <c r="B4438" s="20" t="s">
        <v>31</v>
      </c>
      <c r="C4438" s="20" t="s">
        <v>32</v>
      </c>
      <c r="D4438" s="68">
        <v>0</v>
      </c>
      <c r="E4438" s="22">
        <v>25000</v>
      </c>
      <c r="F4438" s="25">
        <f>E4438*D4438</f>
        <v>0</v>
      </c>
    </row>
    <row r="4439" spans="2:6">
      <c r="B4439" s="20"/>
      <c r="C4439" s="20"/>
      <c r="D4439" s="68"/>
      <c r="E4439" s="22"/>
      <c r="F4439" s="25">
        <f>E4439*D4439</f>
        <v>0</v>
      </c>
    </row>
    <row r="4440" spans="2:6" ht="16">
      <c r="B4440" s="26"/>
      <c r="C4440" s="26"/>
      <c r="D4440" s="26"/>
      <c r="E4440" s="26"/>
      <c r="F4440" s="25">
        <f>E4440*D4440</f>
        <v>0</v>
      </c>
    </row>
    <row r="4441" spans="2:6" ht="16">
      <c r="B4441" s="26"/>
      <c r="C4441" s="26"/>
      <c r="D4441" s="26"/>
      <c r="E4441" s="26"/>
      <c r="F4441" s="25">
        <f>E4441*D4441</f>
        <v>0</v>
      </c>
    </row>
    <row r="4442" spans="2:6" ht="16">
      <c r="B4442" s="30"/>
      <c r="C4442" s="26"/>
      <c r="D4442" s="26"/>
      <c r="E4442" s="26"/>
      <c r="F4442" s="25">
        <f>E4442*D4442</f>
        <v>0</v>
      </c>
    </row>
    <row r="4443" spans="2:6" ht="16">
      <c r="B4443" s="8"/>
      <c r="C4443" s="8"/>
      <c r="D4443" s="8"/>
      <c r="E4443" s="8"/>
    </row>
    <row r="4444" spans="2:6" ht="14" thickBot="1">
      <c r="B4444" s="19" t="s">
        <v>33</v>
      </c>
      <c r="C4444" s="19"/>
      <c r="D4444" s="19"/>
      <c r="E4444" s="19"/>
      <c r="F4444" s="23">
        <f>SUM(F4438:F4443)</f>
        <v>0</v>
      </c>
    </row>
    <row r="4445" spans="2:6" ht="16">
      <c r="B4445" s="8"/>
      <c r="C4445" s="8"/>
      <c r="D4445" s="8"/>
      <c r="E4445" s="8"/>
    </row>
    <row r="4446" spans="2:6" ht="17" thickBot="1">
      <c r="B4446" s="8"/>
      <c r="C4446" s="8"/>
      <c r="D4446" s="8"/>
      <c r="E4446" s="8"/>
    </row>
    <row r="4447" spans="2:6" ht="17" thickBot="1">
      <c r="B4447" s="31" t="s">
        <v>34</v>
      </c>
      <c r="C4447" s="13"/>
      <c r="D4447" s="13"/>
      <c r="E4447" s="13"/>
      <c r="F4447" s="32">
        <f>F4424+F4434+F4444</f>
        <v>890000</v>
      </c>
    </row>
    <row r="4448" spans="2:6" ht="17" thickBot="1">
      <c r="B4448" s="31" t="s">
        <v>35</v>
      </c>
      <c r="C4448" s="13"/>
      <c r="D4448" s="13"/>
      <c r="E4448" s="33">
        <v>0.1</v>
      </c>
      <c r="F4448" s="32">
        <f>F4447*E4448</f>
        <v>89000</v>
      </c>
    </row>
    <row r="4449" spans="2:6" ht="17" thickBot="1">
      <c r="B4449" s="31" t="s">
        <v>36</v>
      </c>
      <c r="C4449" s="13"/>
      <c r="D4449" s="13"/>
      <c r="E4449" s="33">
        <v>0.1</v>
      </c>
      <c r="F4449" s="32">
        <f>F4447*E4449</f>
        <v>89000</v>
      </c>
    </row>
    <row r="4450" spans="2:6" ht="17" thickBot="1">
      <c r="B4450" s="34" t="s">
        <v>37</v>
      </c>
      <c r="C4450" s="35"/>
      <c r="D4450" s="35"/>
      <c r="E4450" s="35"/>
      <c r="F4450" s="32">
        <f>SUM(F4447:F4449)</f>
        <v>1068000</v>
      </c>
    </row>
    <row r="4451" spans="2:6" ht="17" thickBot="1">
      <c r="B4451" s="36"/>
      <c r="C4451" s="8"/>
      <c r="D4451" s="8"/>
      <c r="E4451" s="8"/>
    </row>
    <row r="4452" spans="2:6" ht="18" thickTop="1" thickBot="1">
      <c r="B4452" s="37" t="s">
        <v>38</v>
      </c>
      <c r="C4452" s="8"/>
      <c r="D4452" s="8"/>
      <c r="E4452" s="8"/>
    </row>
    <row r="4453" spans="2:6" ht="18" thickTop="1" thickBot="1">
      <c r="B4453" s="8"/>
      <c r="C4453" s="8"/>
      <c r="D4453" s="8"/>
      <c r="E4453" s="8"/>
    </row>
    <row r="4454" spans="2:6" ht="17" thickTop="1">
      <c r="B4454" s="38" t="s">
        <v>271</v>
      </c>
      <c r="C4454" s="13"/>
      <c r="D4454" s="13"/>
      <c r="E4454" s="39"/>
      <c r="F4454" s="40"/>
    </row>
    <row r="4455" spans="2:6" ht="16">
      <c r="B4455" s="38" t="s">
        <v>272</v>
      </c>
      <c r="C4455" s="13"/>
      <c r="D4455" s="13"/>
      <c r="E4455" s="41"/>
      <c r="F4455" s="42"/>
    </row>
    <row r="4456" spans="2:6" ht="16">
      <c r="B4456" s="38"/>
      <c r="C4456" s="13"/>
      <c r="D4456" s="13"/>
      <c r="E4456" s="41"/>
      <c r="F4456" s="42"/>
    </row>
    <row r="4457" spans="2:6" ht="17" thickBot="1">
      <c r="B4457" s="54"/>
      <c r="C4457" s="35"/>
      <c r="D4457" s="35"/>
      <c r="E4457" s="44"/>
      <c r="F4457" s="45"/>
    </row>
    <row r="4458" spans="2:6" ht="17" thickTop="1">
      <c r="B4458" s="46"/>
      <c r="C4458" s="46"/>
      <c r="D4458" s="46"/>
      <c r="E4458" s="47"/>
      <c r="F4458" s="47"/>
    </row>
    <row r="4459" spans="2:6" ht="14" thickBot="1">
      <c r="B4459" s="1" t="s">
        <v>0</v>
      </c>
      <c r="C4459" s="1"/>
    </row>
    <row r="4460" spans="2:6" ht="17" thickBot="1">
      <c r="B4460" s="1" t="s">
        <v>1</v>
      </c>
      <c r="C4460" s="1"/>
      <c r="E4460" s="4" t="s">
        <v>2</v>
      </c>
      <c r="F4460" s="5"/>
    </row>
    <row r="4462" spans="2:6">
      <c r="B4462" s="6"/>
    </row>
    <row r="4463" spans="2:6" ht="16">
      <c r="B4463" s="7" t="s">
        <v>3</v>
      </c>
      <c r="C4463" s="7"/>
      <c r="D4463" s="7"/>
      <c r="E4463" s="7"/>
      <c r="F4463" s="7"/>
    </row>
    <row r="4464" spans="2:6" ht="16">
      <c r="B4464" s="8"/>
      <c r="C4464" s="8"/>
      <c r="D4464" s="8"/>
      <c r="E4464" s="8"/>
    </row>
    <row r="4465" spans="2:6" ht="16">
      <c r="B4465" s="9" t="s">
        <v>4</v>
      </c>
      <c r="C4465" s="13" t="str">
        <f>C4407</f>
        <v>MEJORAMIENTO ESPACIO PUBLICO JJVV LUCILA GODOY ALCAYAGA</v>
      </c>
      <c r="D4465" s="13"/>
      <c r="E4465" s="13"/>
      <c r="F4465" s="14"/>
    </row>
    <row r="4466" spans="2:6" ht="16">
      <c r="B4466" s="12"/>
      <c r="C4466" s="8"/>
      <c r="D4466" s="8"/>
      <c r="E4466" s="8"/>
    </row>
    <row r="4467" spans="2:6" ht="16">
      <c r="B4467" s="9" t="s">
        <v>5</v>
      </c>
      <c r="C4467" s="13" t="s">
        <v>6</v>
      </c>
      <c r="D4467" s="13"/>
      <c r="E4467" s="13"/>
      <c r="F4467" s="14"/>
    </row>
    <row r="4468" spans="2:6" ht="16">
      <c r="B4468" s="9"/>
      <c r="C4468" s="13"/>
      <c r="D4468" s="13"/>
      <c r="E4468" s="13"/>
      <c r="F4468" s="14"/>
    </row>
    <row r="4469" spans="2:6" ht="16">
      <c r="B4469" s="9" t="s">
        <v>7</v>
      </c>
      <c r="C4469" s="13" t="str">
        <f>[1]LGA!A104</f>
        <v>7.1.2</v>
      </c>
      <c r="D4469" s="13"/>
      <c r="E4469" s="13"/>
      <c r="F4469" s="14"/>
    </row>
    <row r="4470" spans="2:6" ht="16">
      <c r="B4470" s="9" t="s">
        <v>8</v>
      </c>
      <c r="C4470" s="13" t="s">
        <v>273</v>
      </c>
      <c r="D4470" s="13"/>
      <c r="E4470" s="13"/>
      <c r="F4470" s="14"/>
    </row>
    <row r="4471" spans="2:6" ht="16">
      <c r="B4471" s="9" t="s">
        <v>10</v>
      </c>
      <c r="C4471" s="13" t="s">
        <v>261</v>
      </c>
      <c r="D4471" s="13"/>
      <c r="E4471" s="13"/>
      <c r="F4471" s="14"/>
    </row>
    <row r="4472" spans="2:6" ht="16">
      <c r="B4472" s="9" t="s">
        <v>12</v>
      </c>
      <c r="C4472" s="15">
        <f>C4414</f>
        <v>46024</v>
      </c>
      <c r="D4472" s="13"/>
      <c r="E4472" s="13"/>
      <c r="F4472" s="14"/>
    </row>
    <row r="4473" spans="2:6" ht="17" thickBot="1">
      <c r="B4473" s="8"/>
      <c r="C4473" s="8"/>
      <c r="D4473" s="8"/>
      <c r="E4473" s="8"/>
    </row>
    <row r="4474" spans="2:6" ht="15" thickTop="1" thickBot="1">
      <c r="B4474" s="16" t="s">
        <v>13</v>
      </c>
      <c r="C4474" s="17" t="s">
        <v>14</v>
      </c>
      <c r="D4474" s="17" t="s">
        <v>15</v>
      </c>
      <c r="E4474" s="17" t="s">
        <v>16</v>
      </c>
      <c r="F4474" s="18" t="s">
        <v>17</v>
      </c>
    </row>
    <row r="4475" spans="2:6" ht="14" thickTop="1">
      <c r="B4475" s="19"/>
      <c r="C4475" s="19"/>
      <c r="D4475" s="19"/>
      <c r="E4475" s="19"/>
      <c r="F4475" s="19"/>
    </row>
    <row r="4476" spans="2:6">
      <c r="B4476" s="20" t="s">
        <v>274</v>
      </c>
      <c r="C4476" s="21" t="s">
        <v>261</v>
      </c>
      <c r="D4476" s="21">
        <v>2</v>
      </c>
      <c r="E4476" s="22">
        <v>85900</v>
      </c>
      <c r="F4476" s="22">
        <f t="shared" ref="F4476:F4492" si="75">E4476*D4476</f>
        <v>171800</v>
      </c>
    </row>
    <row r="4477" spans="2:6" ht="28">
      <c r="B4477" s="77" t="s">
        <v>275</v>
      </c>
      <c r="C4477" s="21" t="s">
        <v>261</v>
      </c>
      <c r="D4477" s="21">
        <v>2</v>
      </c>
      <c r="E4477" s="22">
        <v>52300</v>
      </c>
      <c r="F4477" s="22">
        <f t="shared" si="75"/>
        <v>104600</v>
      </c>
    </row>
    <row r="4478" spans="2:6" ht="14">
      <c r="B4478" s="77" t="s">
        <v>276</v>
      </c>
      <c r="C4478" s="21" t="s">
        <v>261</v>
      </c>
      <c r="D4478" s="21">
        <v>2</v>
      </c>
      <c r="E4478" s="22">
        <v>25200</v>
      </c>
      <c r="F4478" s="22">
        <f t="shared" si="75"/>
        <v>50400</v>
      </c>
    </row>
    <row r="4479" spans="2:6">
      <c r="B4479" s="20" t="s">
        <v>277</v>
      </c>
      <c r="C4479" s="21" t="s">
        <v>261</v>
      </c>
      <c r="D4479" s="21">
        <v>2</v>
      </c>
      <c r="E4479" s="22">
        <v>65000</v>
      </c>
      <c r="F4479" s="22">
        <f t="shared" si="75"/>
        <v>130000</v>
      </c>
    </row>
    <row r="4480" spans="2:6">
      <c r="B4480" s="20" t="s">
        <v>278</v>
      </c>
      <c r="C4480" s="21" t="s">
        <v>261</v>
      </c>
      <c r="D4480" s="21">
        <v>2</v>
      </c>
      <c r="E4480" s="22">
        <v>6800</v>
      </c>
      <c r="F4480" s="22">
        <f t="shared" si="75"/>
        <v>13600</v>
      </c>
    </row>
    <row r="4481" spans="2:6">
      <c r="B4481" s="20" t="s">
        <v>279</v>
      </c>
      <c r="C4481" s="21" t="s">
        <v>261</v>
      </c>
      <c r="D4481" s="21">
        <v>2</v>
      </c>
      <c r="E4481" s="22">
        <v>6800</v>
      </c>
      <c r="F4481" s="22">
        <f t="shared" si="75"/>
        <v>13600</v>
      </c>
    </row>
    <row r="4482" spans="2:6">
      <c r="B4482" s="20" t="s">
        <v>280</v>
      </c>
      <c r="C4482" s="21" t="s">
        <v>261</v>
      </c>
      <c r="D4482" s="21">
        <v>2</v>
      </c>
      <c r="E4482" s="22">
        <v>65000</v>
      </c>
      <c r="F4482" s="22">
        <f t="shared" si="75"/>
        <v>130000</v>
      </c>
    </row>
    <row r="4483" spans="2:6">
      <c r="B4483" s="20" t="s">
        <v>281</v>
      </c>
      <c r="C4483" s="21" t="s">
        <v>261</v>
      </c>
      <c r="D4483" s="21">
        <v>2</v>
      </c>
      <c r="E4483" s="22">
        <v>3500</v>
      </c>
      <c r="F4483" s="22">
        <f t="shared" si="75"/>
        <v>7000</v>
      </c>
    </row>
    <row r="4484" spans="2:6">
      <c r="B4484" s="20" t="s">
        <v>282</v>
      </c>
      <c r="C4484" s="21" t="s">
        <v>41</v>
      </c>
      <c r="D4484" s="21">
        <v>2</v>
      </c>
      <c r="E4484" s="22">
        <v>5400</v>
      </c>
      <c r="F4484" s="22">
        <f t="shared" si="75"/>
        <v>10800</v>
      </c>
    </row>
    <row r="4485" spans="2:6">
      <c r="B4485" s="20" t="s">
        <v>283</v>
      </c>
      <c r="C4485" s="21" t="s">
        <v>261</v>
      </c>
      <c r="D4485" s="21">
        <v>2</v>
      </c>
      <c r="E4485" s="22">
        <v>18000</v>
      </c>
      <c r="F4485" s="22">
        <f t="shared" si="75"/>
        <v>36000</v>
      </c>
    </row>
    <row r="4486" spans="2:6">
      <c r="B4486" s="20" t="s">
        <v>284</v>
      </c>
      <c r="C4486" s="21" t="s">
        <v>87</v>
      </c>
      <c r="D4486" s="21">
        <v>0.4</v>
      </c>
      <c r="E4486" s="22">
        <v>12300</v>
      </c>
      <c r="F4486" s="22">
        <f t="shared" si="75"/>
        <v>4920</v>
      </c>
    </row>
    <row r="4487" spans="2:6">
      <c r="B4487" s="20" t="s">
        <v>285</v>
      </c>
      <c r="C4487" s="21" t="s">
        <v>95</v>
      </c>
      <c r="D4487" s="21">
        <v>0.36</v>
      </c>
      <c r="E4487" s="22">
        <v>5200</v>
      </c>
      <c r="F4487" s="22">
        <f t="shared" si="75"/>
        <v>1872</v>
      </c>
    </row>
    <row r="4488" spans="2:6">
      <c r="B4488" s="20" t="s">
        <v>286</v>
      </c>
      <c r="C4488" s="21" t="s">
        <v>87</v>
      </c>
      <c r="D4488" s="21">
        <v>0.4</v>
      </c>
      <c r="E4488" s="22">
        <v>8400</v>
      </c>
      <c r="F4488" s="22">
        <f t="shared" si="75"/>
        <v>3360</v>
      </c>
    </row>
    <row r="4489" spans="2:6">
      <c r="B4489" s="20" t="s">
        <v>287</v>
      </c>
      <c r="C4489" s="21" t="s">
        <v>261</v>
      </c>
      <c r="D4489" s="21">
        <v>2</v>
      </c>
      <c r="E4489" s="22">
        <v>280000</v>
      </c>
      <c r="F4489" s="22">
        <f t="shared" si="75"/>
        <v>560000</v>
      </c>
    </row>
    <row r="4490" spans="2:6" ht="14">
      <c r="B4490" s="77" t="s">
        <v>288</v>
      </c>
      <c r="C4490" s="21" t="s">
        <v>261</v>
      </c>
      <c r="D4490" s="21">
        <v>2</v>
      </c>
      <c r="E4490" s="22">
        <v>52300</v>
      </c>
      <c r="F4490" s="22">
        <f t="shared" si="75"/>
        <v>104600</v>
      </c>
    </row>
    <row r="4491" spans="2:6" ht="14">
      <c r="B4491" s="77" t="s">
        <v>289</v>
      </c>
      <c r="C4491" s="21" t="s">
        <v>261</v>
      </c>
      <c r="D4491" s="21">
        <v>2</v>
      </c>
      <c r="E4491" s="22">
        <v>25200</v>
      </c>
      <c r="F4491" s="22">
        <f t="shared" si="75"/>
        <v>50400</v>
      </c>
    </row>
    <row r="4492" spans="2:6">
      <c r="B4492" s="20" t="s">
        <v>290</v>
      </c>
      <c r="C4492" s="21" t="s">
        <v>261</v>
      </c>
      <c r="D4492" s="21">
        <v>2</v>
      </c>
      <c r="E4492" s="22">
        <v>65000</v>
      </c>
      <c r="F4492" s="22">
        <f t="shared" si="75"/>
        <v>130000</v>
      </c>
    </row>
    <row r="4493" spans="2:6" ht="17" thickBot="1">
      <c r="B4493" s="6" t="s">
        <v>19</v>
      </c>
      <c r="C4493" s="8"/>
      <c r="D4493" s="8"/>
      <c r="E4493" s="8"/>
      <c r="F4493" s="23">
        <f>SUM(F4476:F4492)</f>
        <v>1522952</v>
      </c>
    </row>
    <row r="4494" spans="2:6" ht="17" thickBot="1">
      <c r="B4494" s="8"/>
      <c r="C4494" s="8"/>
      <c r="D4494" s="8"/>
      <c r="E4494" s="8"/>
    </row>
    <row r="4495" spans="2:6" ht="15" thickTop="1" thickBot="1">
      <c r="B4495" s="16" t="s">
        <v>20</v>
      </c>
      <c r="C4495" s="17" t="s">
        <v>14</v>
      </c>
      <c r="D4495" s="17" t="s">
        <v>15</v>
      </c>
      <c r="E4495" s="17" t="s">
        <v>16</v>
      </c>
      <c r="F4495" s="18" t="s">
        <v>17</v>
      </c>
    </row>
    <row r="4496" spans="2:6" ht="17" thickTop="1">
      <c r="B4496" s="8"/>
      <c r="C4496" s="8"/>
      <c r="D4496" s="8"/>
      <c r="E4496" s="8"/>
    </row>
    <row r="4497" spans="2:6">
      <c r="B4497" s="24" t="s">
        <v>269</v>
      </c>
      <c r="C4497" s="20" t="s">
        <v>22</v>
      </c>
      <c r="D4497" s="20">
        <v>37.181809999999999</v>
      </c>
      <c r="E4497" s="22">
        <v>56000</v>
      </c>
      <c r="F4497" s="25">
        <f>E4497*D4497</f>
        <v>2082181.3599999999</v>
      </c>
    </row>
    <row r="4498" spans="2:6">
      <c r="B4498" s="20" t="s">
        <v>270</v>
      </c>
      <c r="C4498" s="20" t="s">
        <v>22</v>
      </c>
      <c r="D4498" s="20">
        <v>37.1</v>
      </c>
      <c r="E4498" s="22">
        <v>35000</v>
      </c>
      <c r="F4498" s="25">
        <f>E4498*D4498</f>
        <v>1298500</v>
      </c>
    </row>
    <row r="4499" spans="2:6" ht="16">
      <c r="B4499" s="26"/>
      <c r="C4499" s="26"/>
      <c r="D4499" s="26"/>
      <c r="E4499" s="26"/>
      <c r="F4499" s="25">
        <f>E4499*D4499</f>
        <v>0</v>
      </c>
    </row>
    <row r="4500" spans="2:6" ht="16">
      <c r="B4500" s="26"/>
      <c r="C4500" s="26"/>
      <c r="D4500" s="26"/>
      <c r="E4500" s="26"/>
      <c r="F4500" s="25">
        <f>E4500*D4500</f>
        <v>0</v>
      </c>
    </row>
    <row r="4501" spans="2:6" ht="16">
      <c r="B4501" s="27" t="s">
        <v>25</v>
      </c>
      <c r="C4501" s="27" t="s">
        <v>26</v>
      </c>
      <c r="D4501" s="28">
        <v>0.32</v>
      </c>
      <c r="E4501" s="29">
        <f>SUM(E4497:E4500)*D4501</f>
        <v>29120</v>
      </c>
      <c r="F4501" s="25">
        <f>E4501*D4501</f>
        <v>9318.4</v>
      </c>
    </row>
    <row r="4502" spans="2:6" ht="16">
      <c r="B4502" s="8"/>
      <c r="C4502" s="8"/>
      <c r="D4502" s="8"/>
      <c r="E4502" s="8"/>
    </row>
    <row r="4503" spans="2:6" ht="17" thickBot="1">
      <c r="B4503" s="6" t="s">
        <v>27</v>
      </c>
      <c r="C4503" s="8"/>
      <c r="D4503" s="8"/>
      <c r="E4503" s="8"/>
      <c r="F4503" s="23">
        <f>SUM(F4497:F4502)</f>
        <v>3389999.76</v>
      </c>
    </row>
    <row r="4504" spans="2:6" ht="17" thickBot="1">
      <c r="B4504" s="8"/>
      <c r="C4504" s="8"/>
      <c r="D4504" s="8"/>
      <c r="E4504" s="8"/>
    </row>
    <row r="4505" spans="2:6" ht="15" thickTop="1" thickBot="1">
      <c r="B4505" s="16" t="s">
        <v>28</v>
      </c>
      <c r="C4505" s="17" t="s">
        <v>14</v>
      </c>
      <c r="D4505" s="17" t="s">
        <v>15</v>
      </c>
      <c r="E4505" s="17" t="s">
        <v>16</v>
      </c>
      <c r="F4505" s="18" t="s">
        <v>17</v>
      </c>
    </row>
    <row r="4506" spans="2:6" ht="17" thickTop="1">
      <c r="B4506" s="8"/>
      <c r="C4506" s="8"/>
      <c r="D4506" s="8"/>
      <c r="E4506" s="8"/>
    </row>
    <row r="4507" spans="2:6">
      <c r="B4507" s="20" t="s">
        <v>62</v>
      </c>
      <c r="C4507" s="20" t="s">
        <v>43</v>
      </c>
      <c r="D4507" s="68">
        <v>4</v>
      </c>
      <c r="E4507" s="22">
        <v>15000</v>
      </c>
      <c r="F4507" s="25">
        <f>E4507*D4507</f>
        <v>60000</v>
      </c>
    </row>
    <row r="4508" spans="2:6">
      <c r="B4508" s="20" t="s">
        <v>31</v>
      </c>
      <c r="C4508" s="20" t="s">
        <v>32</v>
      </c>
      <c r="D4508" s="68">
        <v>2</v>
      </c>
      <c r="E4508" s="22">
        <v>25000</v>
      </c>
      <c r="F4508" s="25">
        <f>E4508*D4508</f>
        <v>50000</v>
      </c>
    </row>
    <row r="4509" spans="2:6" ht="16">
      <c r="B4509" s="26"/>
      <c r="C4509" s="26"/>
      <c r="D4509" s="26"/>
      <c r="E4509" s="26"/>
      <c r="F4509" s="25">
        <f>E4509*D4509</f>
        <v>0</v>
      </c>
    </row>
    <row r="4510" spans="2:6" ht="16">
      <c r="B4510" s="26"/>
      <c r="C4510" s="26"/>
      <c r="D4510" s="26"/>
      <c r="E4510" s="26"/>
      <c r="F4510" s="25">
        <f>E4510*D4510</f>
        <v>0</v>
      </c>
    </row>
    <row r="4511" spans="2:6" ht="16">
      <c r="B4511" s="30"/>
      <c r="C4511" s="26"/>
      <c r="D4511" s="26"/>
      <c r="E4511" s="26"/>
      <c r="F4511" s="25">
        <f>E4511*D4511</f>
        <v>0</v>
      </c>
    </row>
    <row r="4512" spans="2:6" ht="16">
      <c r="B4512" s="8"/>
      <c r="C4512" s="8"/>
      <c r="D4512" s="8"/>
      <c r="E4512" s="8"/>
    </row>
    <row r="4513" spans="2:6" ht="14" thickBot="1">
      <c r="B4513" s="19" t="s">
        <v>33</v>
      </c>
      <c r="C4513" s="19"/>
      <c r="D4513" s="19"/>
      <c r="E4513" s="19"/>
      <c r="F4513" s="23">
        <f>SUM(F4507:F4512)</f>
        <v>110000</v>
      </c>
    </row>
    <row r="4514" spans="2:6" ht="16">
      <c r="B4514" s="8"/>
      <c r="C4514" s="8"/>
      <c r="D4514" s="8"/>
      <c r="E4514" s="8"/>
    </row>
    <row r="4515" spans="2:6" ht="17" thickBot="1">
      <c r="B4515" s="8"/>
      <c r="C4515" s="8"/>
      <c r="D4515" s="8"/>
      <c r="E4515" s="8"/>
    </row>
    <row r="4516" spans="2:6" ht="17" thickBot="1">
      <c r="B4516" s="31" t="s">
        <v>34</v>
      </c>
      <c r="C4516" s="13"/>
      <c r="D4516" s="13"/>
      <c r="E4516" s="13"/>
      <c r="F4516" s="32">
        <f>F4493+F4503+F4513</f>
        <v>5022951.76</v>
      </c>
    </row>
    <row r="4517" spans="2:6" ht="17" thickBot="1">
      <c r="B4517" s="31" t="s">
        <v>35</v>
      </c>
      <c r="C4517" s="13"/>
      <c r="D4517" s="13"/>
      <c r="E4517" s="33">
        <v>0.1</v>
      </c>
      <c r="F4517" s="32">
        <f>F4516*E4517</f>
        <v>502295.17599999998</v>
      </c>
    </row>
    <row r="4518" spans="2:6" ht="17" thickBot="1">
      <c r="B4518" s="31" t="s">
        <v>36</v>
      </c>
      <c r="C4518" s="13"/>
      <c r="D4518" s="13"/>
      <c r="E4518" s="33">
        <v>0.1</v>
      </c>
      <c r="F4518" s="32">
        <f>F4516*E4518</f>
        <v>502295.17599999998</v>
      </c>
    </row>
    <row r="4519" spans="2:6" ht="17" thickBot="1">
      <c r="B4519" s="34" t="s">
        <v>37</v>
      </c>
      <c r="C4519" s="35"/>
      <c r="D4519" s="35"/>
      <c r="E4519" s="35"/>
      <c r="F4519" s="32">
        <f>SUM(F4516:F4518)</f>
        <v>6027542.1119999997</v>
      </c>
    </row>
    <row r="4520" spans="2:6" ht="17" thickBot="1">
      <c r="B4520" s="36"/>
      <c r="C4520" s="8"/>
      <c r="D4520" s="8"/>
      <c r="E4520" s="8"/>
    </row>
    <row r="4521" spans="2:6" ht="18" thickTop="1" thickBot="1">
      <c r="B4521" s="37" t="s">
        <v>38</v>
      </c>
      <c r="C4521" s="8"/>
      <c r="D4521" s="8"/>
      <c r="E4521" s="8"/>
    </row>
    <row r="4522" spans="2:6" ht="18" thickTop="1" thickBot="1">
      <c r="B4522" s="8"/>
      <c r="C4522" s="8"/>
      <c r="D4522" s="8"/>
      <c r="E4522" s="8"/>
    </row>
    <row r="4523" spans="2:6" ht="17" thickTop="1">
      <c r="B4523" s="38" t="s">
        <v>291</v>
      </c>
      <c r="C4523" s="13"/>
      <c r="D4523" s="13"/>
      <c r="E4523" s="39"/>
      <c r="F4523" s="40"/>
    </row>
    <row r="4524" spans="2:6" ht="16">
      <c r="B4524" s="38" t="s">
        <v>292</v>
      </c>
      <c r="C4524" s="13"/>
      <c r="D4524" s="13"/>
      <c r="E4524" s="41"/>
      <c r="F4524" s="42"/>
    </row>
    <row r="4525" spans="2:6" ht="16">
      <c r="B4525" s="38"/>
      <c r="C4525" s="13"/>
      <c r="D4525" s="13"/>
      <c r="E4525" s="41"/>
      <c r="F4525" s="42"/>
    </row>
    <row r="4526" spans="2:6" ht="17" thickBot="1">
      <c r="B4526" s="54"/>
      <c r="C4526" s="35"/>
      <c r="D4526" s="35"/>
      <c r="E4526" s="44"/>
      <c r="F4526" s="45"/>
    </row>
    <row r="4527" spans="2:6" ht="17" thickTop="1">
      <c r="B4527" s="46"/>
      <c r="C4527" s="46"/>
      <c r="D4527" s="46"/>
      <c r="E4527" s="47"/>
      <c r="F4527" s="47"/>
    </row>
    <row r="4528" spans="2:6" ht="14" thickBot="1">
      <c r="B4528" s="1" t="s">
        <v>0</v>
      </c>
      <c r="C4528" s="1"/>
    </row>
    <row r="4529" spans="2:6" ht="17" thickBot="1">
      <c r="B4529" s="1" t="s">
        <v>1</v>
      </c>
      <c r="C4529" s="1"/>
      <c r="E4529" s="4" t="s">
        <v>2</v>
      </c>
      <c r="F4529" s="5"/>
    </row>
    <row r="4531" spans="2:6">
      <c r="B4531" s="6"/>
    </row>
    <row r="4532" spans="2:6" ht="16">
      <c r="B4532" s="7" t="s">
        <v>3</v>
      </c>
      <c r="C4532" s="7"/>
      <c r="D4532" s="7"/>
      <c r="E4532" s="7"/>
      <c r="F4532" s="7"/>
    </row>
    <row r="4533" spans="2:6" ht="16">
      <c r="B4533" s="8"/>
      <c r="C4533" s="8"/>
      <c r="D4533" s="8"/>
      <c r="E4533" s="8"/>
    </row>
    <row r="4534" spans="2:6" ht="16">
      <c r="B4534" s="9" t="s">
        <v>4</v>
      </c>
      <c r="C4534" s="13" t="str">
        <f>C4465</f>
        <v>MEJORAMIENTO ESPACIO PUBLICO JJVV LUCILA GODOY ALCAYAGA</v>
      </c>
      <c r="D4534" s="13"/>
      <c r="E4534" s="13"/>
      <c r="F4534" s="14"/>
    </row>
    <row r="4535" spans="2:6" ht="16">
      <c r="B4535" s="12"/>
      <c r="C4535" s="8"/>
      <c r="D4535" s="8"/>
      <c r="E4535" s="8"/>
    </row>
    <row r="4536" spans="2:6" ht="16">
      <c r="B4536" s="9" t="s">
        <v>5</v>
      </c>
      <c r="C4536" s="13" t="s">
        <v>6</v>
      </c>
      <c r="D4536" s="13"/>
      <c r="E4536" s="13"/>
      <c r="F4536" s="14"/>
    </row>
    <row r="4537" spans="2:6" ht="16">
      <c r="B4537" s="9"/>
      <c r="C4537" s="13"/>
      <c r="D4537" s="13"/>
      <c r="E4537" s="13"/>
      <c r="F4537" s="14"/>
    </row>
    <row r="4538" spans="2:6" ht="16">
      <c r="B4538" s="9" t="s">
        <v>7</v>
      </c>
      <c r="C4538" s="13" t="str">
        <f>[1]LGA!A105</f>
        <v>7.1.3</v>
      </c>
      <c r="D4538" s="13"/>
      <c r="E4538" s="13"/>
      <c r="F4538" s="14"/>
    </row>
    <row r="4539" spans="2:6" ht="16">
      <c r="B4539" s="9" t="s">
        <v>8</v>
      </c>
      <c r="C4539" s="13" t="s">
        <v>293</v>
      </c>
      <c r="D4539" s="13"/>
      <c r="E4539" s="13"/>
      <c r="F4539" s="14"/>
    </row>
    <row r="4540" spans="2:6" ht="16">
      <c r="B4540" s="9" t="s">
        <v>10</v>
      </c>
      <c r="C4540" s="13" t="s">
        <v>54</v>
      </c>
      <c r="D4540" s="13"/>
      <c r="E4540" s="13"/>
      <c r="F4540" s="14"/>
    </row>
    <row r="4541" spans="2:6" ht="16">
      <c r="B4541" s="9" t="s">
        <v>12</v>
      </c>
      <c r="C4541" s="15">
        <f>C4472</f>
        <v>46024</v>
      </c>
      <c r="D4541" s="13"/>
      <c r="E4541" s="13"/>
      <c r="F4541" s="14"/>
    </row>
    <row r="4542" spans="2:6" ht="17" thickBot="1">
      <c r="B4542" s="8"/>
      <c r="C4542" s="8"/>
      <c r="D4542" s="8"/>
      <c r="E4542" s="8"/>
    </row>
    <row r="4543" spans="2:6" ht="15" thickTop="1" thickBot="1">
      <c r="B4543" s="16" t="s">
        <v>13</v>
      </c>
      <c r="C4543" s="17" t="s">
        <v>14</v>
      </c>
      <c r="D4543" s="17" t="s">
        <v>15</v>
      </c>
      <c r="E4543" s="17" t="s">
        <v>16</v>
      </c>
      <c r="F4543" s="18" t="s">
        <v>17</v>
      </c>
    </row>
    <row r="4544" spans="2:6" ht="14" thickTop="1">
      <c r="B4544" s="19"/>
      <c r="C4544" s="19"/>
      <c r="D4544" s="19"/>
      <c r="E4544" s="19"/>
      <c r="F4544" s="19"/>
    </row>
    <row r="4545" spans="2:6" ht="14">
      <c r="B4545" s="77" t="s">
        <v>294</v>
      </c>
      <c r="C4545" s="21" t="s">
        <v>295</v>
      </c>
      <c r="D4545" s="21">
        <v>1</v>
      </c>
      <c r="E4545" s="22">
        <v>3200</v>
      </c>
      <c r="F4545" s="22">
        <f t="shared" ref="F4545:F4550" si="76">E4545*D4545</f>
        <v>3200</v>
      </c>
    </row>
    <row r="4546" spans="2:6" ht="14">
      <c r="B4546" s="77" t="s">
        <v>296</v>
      </c>
      <c r="C4546" s="21" t="s">
        <v>179</v>
      </c>
      <c r="D4546" s="21">
        <v>1</v>
      </c>
      <c r="E4546" s="22">
        <v>4600</v>
      </c>
      <c r="F4546" s="22">
        <f t="shared" si="76"/>
        <v>4600</v>
      </c>
    </row>
    <row r="4547" spans="2:6">
      <c r="B4547" s="20" t="s">
        <v>297</v>
      </c>
      <c r="C4547" s="21" t="s">
        <v>179</v>
      </c>
      <c r="D4547" s="21">
        <v>1</v>
      </c>
      <c r="E4547" s="22">
        <v>8500</v>
      </c>
      <c r="F4547" s="22">
        <f t="shared" si="76"/>
        <v>8500</v>
      </c>
    </row>
    <row r="4548" spans="2:6">
      <c r="B4548" s="20" t="s">
        <v>298</v>
      </c>
      <c r="C4548" s="21" t="s">
        <v>179</v>
      </c>
      <c r="D4548" s="21">
        <v>1</v>
      </c>
      <c r="E4548" s="22">
        <v>2800</v>
      </c>
      <c r="F4548" s="22">
        <f t="shared" si="76"/>
        <v>2800</v>
      </c>
    </row>
    <row r="4549" spans="2:6">
      <c r="B4549" s="20" t="s">
        <v>299</v>
      </c>
      <c r="C4549" s="21" t="s">
        <v>179</v>
      </c>
      <c r="D4549" s="21">
        <v>1</v>
      </c>
      <c r="E4549" s="22">
        <v>4100</v>
      </c>
      <c r="F4549" s="22">
        <f t="shared" si="76"/>
        <v>4100</v>
      </c>
    </row>
    <row r="4550" spans="2:6">
      <c r="B4550" s="20"/>
      <c r="C4550" s="21"/>
      <c r="D4550" s="21"/>
      <c r="E4550" s="22"/>
      <c r="F4550" s="22">
        <f t="shared" si="76"/>
        <v>0</v>
      </c>
    </row>
    <row r="4551" spans="2:6" ht="17" thickBot="1">
      <c r="B4551" s="6" t="s">
        <v>19</v>
      </c>
      <c r="C4551" s="8"/>
      <c r="D4551" s="8"/>
      <c r="E4551" s="8"/>
      <c r="F4551" s="23">
        <f>SUM(F4545:F4550)</f>
        <v>23200</v>
      </c>
    </row>
    <row r="4552" spans="2:6" ht="17" thickBot="1">
      <c r="B4552" s="8"/>
      <c r="C4552" s="8"/>
      <c r="D4552" s="8"/>
      <c r="E4552" s="8"/>
    </row>
    <row r="4553" spans="2:6" ht="15" thickTop="1" thickBot="1">
      <c r="B4553" s="16" t="s">
        <v>20</v>
      </c>
      <c r="C4553" s="17" t="s">
        <v>14</v>
      </c>
      <c r="D4553" s="17" t="s">
        <v>15</v>
      </c>
      <c r="E4553" s="17" t="s">
        <v>16</v>
      </c>
      <c r="F4553" s="18" t="s">
        <v>17</v>
      </c>
    </row>
    <row r="4554" spans="2:6" ht="17" thickTop="1">
      <c r="B4554" s="8"/>
      <c r="C4554" s="8"/>
      <c r="D4554" s="8"/>
      <c r="E4554" s="8"/>
    </row>
    <row r="4555" spans="2:6">
      <c r="B4555" s="24" t="s">
        <v>269</v>
      </c>
      <c r="C4555" s="20" t="s">
        <v>22</v>
      </c>
      <c r="D4555" s="20">
        <v>16</v>
      </c>
      <c r="E4555" s="22">
        <v>56000</v>
      </c>
      <c r="F4555" s="25">
        <f>E4555*D4555</f>
        <v>896000</v>
      </c>
    </row>
    <row r="4556" spans="2:6">
      <c r="B4556" s="20" t="s">
        <v>270</v>
      </c>
      <c r="C4556" s="20" t="s">
        <v>22</v>
      </c>
      <c r="D4556" s="20">
        <v>16</v>
      </c>
      <c r="E4556" s="22">
        <v>35000</v>
      </c>
      <c r="F4556" s="25">
        <f>E4556*D4556</f>
        <v>560000</v>
      </c>
    </row>
    <row r="4557" spans="2:6" ht="16">
      <c r="B4557" s="26"/>
      <c r="C4557" s="26"/>
      <c r="D4557" s="26"/>
      <c r="E4557" s="26"/>
      <c r="F4557" s="25">
        <f>E4557*D4557</f>
        <v>0</v>
      </c>
    </row>
    <row r="4558" spans="2:6" ht="16">
      <c r="B4558" s="26"/>
      <c r="C4558" s="26"/>
      <c r="D4558" s="26"/>
      <c r="E4558" s="26"/>
      <c r="F4558" s="25">
        <f>E4558*D4558</f>
        <v>0</v>
      </c>
    </row>
    <row r="4559" spans="2:6" ht="16">
      <c r="B4559" s="27" t="s">
        <v>25</v>
      </c>
      <c r="C4559" s="27" t="s">
        <v>26</v>
      </c>
      <c r="D4559" s="28">
        <v>0.32</v>
      </c>
      <c r="E4559" s="29">
        <f>SUM(E4555:E4558)*D4559</f>
        <v>29120</v>
      </c>
      <c r="F4559" s="25">
        <f>E4559*D4559</f>
        <v>9318.4</v>
      </c>
    </row>
    <row r="4560" spans="2:6" ht="16">
      <c r="B4560" s="8"/>
      <c r="C4560" s="8"/>
      <c r="D4560" s="8"/>
      <c r="E4560" s="8"/>
    </row>
    <row r="4561" spans="2:6" ht="17" thickBot="1">
      <c r="B4561" s="6" t="s">
        <v>27</v>
      </c>
      <c r="C4561" s="8"/>
      <c r="D4561" s="8"/>
      <c r="E4561" s="8"/>
      <c r="F4561" s="23">
        <f>SUM(F4555:F4560)</f>
        <v>1465318.3999999999</v>
      </c>
    </row>
    <row r="4562" spans="2:6" ht="17" thickBot="1">
      <c r="B4562" s="8"/>
      <c r="C4562" s="8"/>
      <c r="D4562" s="8"/>
      <c r="E4562" s="8"/>
    </row>
    <row r="4563" spans="2:6" ht="15" thickTop="1" thickBot="1">
      <c r="B4563" s="16" t="s">
        <v>28</v>
      </c>
      <c r="C4563" s="17" t="s">
        <v>14</v>
      </c>
      <c r="D4563" s="17" t="s">
        <v>15</v>
      </c>
      <c r="E4563" s="17" t="s">
        <v>16</v>
      </c>
      <c r="F4563" s="18" t="s">
        <v>17</v>
      </c>
    </row>
    <row r="4564" spans="2:6" ht="17" thickTop="1">
      <c r="B4564" s="8"/>
      <c r="C4564" s="8"/>
      <c r="D4564" s="8"/>
      <c r="E4564" s="8"/>
    </row>
    <row r="4565" spans="2:6">
      <c r="B4565" s="20" t="s">
        <v>31</v>
      </c>
      <c r="C4565" s="20" t="s">
        <v>32</v>
      </c>
      <c r="D4565" s="68">
        <v>1</v>
      </c>
      <c r="E4565" s="22">
        <v>25000</v>
      </c>
      <c r="F4565" s="25">
        <f>E4565*D4565</f>
        <v>25000</v>
      </c>
    </row>
    <row r="4566" spans="2:6">
      <c r="B4566" s="20"/>
      <c r="C4566" s="20"/>
      <c r="D4566" s="68"/>
      <c r="E4566" s="22"/>
      <c r="F4566" s="25">
        <f>E4566*D4566</f>
        <v>0</v>
      </c>
    </row>
    <row r="4567" spans="2:6" ht="16">
      <c r="B4567" s="26"/>
      <c r="C4567" s="26"/>
      <c r="D4567" s="26"/>
      <c r="E4567" s="26"/>
      <c r="F4567" s="25">
        <f>E4567*D4567</f>
        <v>0</v>
      </c>
    </row>
    <row r="4568" spans="2:6" ht="16">
      <c r="B4568" s="26"/>
      <c r="C4568" s="26"/>
      <c r="D4568" s="26"/>
      <c r="E4568" s="26"/>
      <c r="F4568" s="25">
        <f>E4568*D4568</f>
        <v>0</v>
      </c>
    </row>
    <row r="4569" spans="2:6" ht="16">
      <c r="B4569" s="30"/>
      <c r="C4569" s="26"/>
      <c r="D4569" s="26"/>
      <c r="E4569" s="26"/>
      <c r="F4569" s="25">
        <f>E4569*D4569</f>
        <v>0</v>
      </c>
    </row>
    <row r="4570" spans="2:6" ht="16">
      <c r="B4570" s="8"/>
      <c r="C4570" s="8"/>
      <c r="D4570" s="8"/>
      <c r="E4570" s="8"/>
    </row>
    <row r="4571" spans="2:6" ht="14" thickBot="1">
      <c r="B4571" s="19" t="s">
        <v>33</v>
      </c>
      <c r="C4571" s="19"/>
      <c r="D4571" s="19"/>
      <c r="E4571" s="19"/>
      <c r="F4571" s="23">
        <f>SUM(F4565:F4570)</f>
        <v>25000</v>
      </c>
    </row>
    <row r="4572" spans="2:6" ht="16">
      <c r="B4572" s="8"/>
      <c r="C4572" s="8"/>
      <c r="D4572" s="8"/>
      <c r="E4572" s="8"/>
    </row>
    <row r="4573" spans="2:6" ht="17" thickBot="1">
      <c r="B4573" s="8"/>
      <c r="C4573" s="8"/>
      <c r="D4573" s="8"/>
      <c r="E4573" s="8"/>
    </row>
    <row r="4574" spans="2:6" ht="17" thickBot="1">
      <c r="B4574" s="31" t="s">
        <v>34</v>
      </c>
      <c r="C4574" s="13"/>
      <c r="D4574" s="13"/>
      <c r="E4574" s="13"/>
      <c r="F4574" s="32">
        <f>F4551+F4561+F4571</f>
        <v>1513518.4</v>
      </c>
    </row>
    <row r="4575" spans="2:6" ht="17" thickBot="1">
      <c r="B4575" s="31" t="s">
        <v>35</v>
      </c>
      <c r="C4575" s="13"/>
      <c r="D4575" s="13"/>
      <c r="E4575" s="33">
        <v>0.1</v>
      </c>
      <c r="F4575" s="32">
        <f>F4574*E4575</f>
        <v>151351.84</v>
      </c>
    </row>
    <row r="4576" spans="2:6" ht="17" thickBot="1">
      <c r="B4576" s="31" t="s">
        <v>36</v>
      </c>
      <c r="C4576" s="13"/>
      <c r="D4576" s="13"/>
      <c r="E4576" s="33">
        <v>0.1</v>
      </c>
      <c r="F4576" s="32">
        <f>F4574*E4576</f>
        <v>151351.84</v>
      </c>
    </row>
    <row r="4577" spans="2:6" ht="17" thickBot="1">
      <c r="B4577" s="34" t="s">
        <v>37</v>
      </c>
      <c r="C4577" s="35"/>
      <c r="D4577" s="35"/>
      <c r="E4577" s="35"/>
      <c r="F4577" s="32">
        <f>SUM(F4574:F4576)</f>
        <v>1816222.08</v>
      </c>
    </row>
    <row r="4578" spans="2:6" ht="17" thickBot="1">
      <c r="B4578" s="36"/>
      <c r="C4578" s="8"/>
      <c r="D4578" s="8"/>
      <c r="E4578" s="8"/>
    </row>
    <row r="4579" spans="2:6" ht="18" thickTop="1" thickBot="1">
      <c r="B4579" s="37" t="s">
        <v>38</v>
      </c>
      <c r="C4579" s="8"/>
      <c r="D4579" s="8"/>
      <c r="E4579" s="8"/>
    </row>
    <row r="4580" spans="2:6" ht="18" thickTop="1" thickBot="1">
      <c r="B4580" s="8"/>
      <c r="C4580" s="8"/>
      <c r="D4580" s="8"/>
      <c r="E4580" s="8"/>
    </row>
    <row r="4581" spans="2:6" ht="17" thickTop="1">
      <c r="B4581" s="38"/>
      <c r="C4581" s="13"/>
      <c r="D4581" s="13"/>
      <c r="E4581" s="39"/>
      <c r="F4581" s="40"/>
    </row>
    <row r="4582" spans="2:6" ht="16">
      <c r="B4582" s="38"/>
      <c r="C4582" s="13"/>
      <c r="D4582" s="13"/>
      <c r="E4582" s="41"/>
      <c r="F4582" s="42"/>
    </row>
    <row r="4583" spans="2:6" ht="16">
      <c r="B4583" s="38"/>
      <c r="C4583" s="13"/>
      <c r="D4583" s="13"/>
      <c r="E4583" s="41"/>
      <c r="F4583" s="42"/>
    </row>
    <row r="4584" spans="2:6" ht="17" thickBot="1">
      <c r="B4584" s="54"/>
      <c r="C4584" s="35"/>
      <c r="D4584" s="35"/>
      <c r="E4584" s="44"/>
      <c r="F4584" s="45"/>
    </row>
    <row r="4585" spans="2:6" ht="17" thickTop="1">
      <c r="B4585" s="46"/>
      <c r="C4585" s="46"/>
      <c r="D4585" s="46"/>
      <c r="E4585" s="47"/>
      <c r="F4585" s="47"/>
    </row>
    <row r="4587" spans="2:6" ht="14" thickBot="1">
      <c r="B4587" s="1" t="s">
        <v>0</v>
      </c>
      <c r="C4587" s="1"/>
    </row>
    <row r="4588" spans="2:6" ht="17" thickBot="1">
      <c r="B4588" s="1" t="s">
        <v>1</v>
      </c>
      <c r="C4588" s="1"/>
      <c r="E4588" s="4" t="s">
        <v>2</v>
      </c>
      <c r="F4588" s="5"/>
    </row>
    <row r="4590" spans="2:6">
      <c r="B4590" s="6"/>
    </row>
    <row r="4591" spans="2:6" ht="16">
      <c r="B4591" s="7" t="s">
        <v>3</v>
      </c>
      <c r="C4591" s="7"/>
      <c r="D4591" s="7"/>
      <c r="E4591" s="7"/>
      <c r="F4591" s="7"/>
    </row>
    <row r="4592" spans="2:6" ht="16">
      <c r="B4592" s="8"/>
      <c r="C4592" s="8"/>
      <c r="D4592" s="8"/>
      <c r="E4592" s="8"/>
    </row>
    <row r="4593" spans="2:6" ht="16">
      <c r="B4593" s="9" t="s">
        <v>4</v>
      </c>
      <c r="C4593" s="13" t="str">
        <f>C4534</f>
        <v>MEJORAMIENTO ESPACIO PUBLICO JJVV LUCILA GODOY ALCAYAGA</v>
      </c>
      <c r="D4593" s="13"/>
      <c r="E4593" s="13"/>
      <c r="F4593" s="14"/>
    </row>
    <row r="4594" spans="2:6" ht="16">
      <c r="B4594" s="12"/>
      <c r="C4594" s="8"/>
      <c r="D4594" s="8"/>
      <c r="E4594" s="8"/>
    </row>
    <row r="4595" spans="2:6" ht="16">
      <c r="B4595" s="9" t="s">
        <v>5</v>
      </c>
      <c r="C4595" s="13" t="s">
        <v>6</v>
      </c>
      <c r="D4595" s="13"/>
      <c r="E4595" s="13"/>
      <c r="F4595" s="14"/>
    </row>
    <row r="4596" spans="2:6" ht="16">
      <c r="B4596" s="9"/>
      <c r="C4596" s="13"/>
      <c r="D4596" s="13"/>
      <c r="E4596" s="13"/>
      <c r="F4596" s="14"/>
    </row>
    <row r="4597" spans="2:6" ht="16">
      <c r="B4597" s="9" t="s">
        <v>7</v>
      </c>
      <c r="C4597" s="13" t="str">
        <f>[1]LGA!A106</f>
        <v>7.1.4</v>
      </c>
      <c r="D4597" s="13"/>
      <c r="E4597" s="13"/>
      <c r="F4597" s="14"/>
    </row>
    <row r="4598" spans="2:6" ht="16">
      <c r="B4598" s="9" t="s">
        <v>8</v>
      </c>
      <c r="C4598" s="13" t="s">
        <v>300</v>
      </c>
      <c r="D4598" s="13"/>
      <c r="E4598" s="13"/>
      <c r="F4598" s="14"/>
    </row>
    <row r="4599" spans="2:6" ht="16">
      <c r="B4599" s="9" t="s">
        <v>10</v>
      </c>
      <c r="C4599" s="13" t="s">
        <v>301</v>
      </c>
      <c r="D4599" s="13"/>
      <c r="E4599" s="13"/>
      <c r="F4599" s="14"/>
    </row>
    <row r="4600" spans="2:6" ht="16">
      <c r="B4600" s="9" t="s">
        <v>12</v>
      </c>
      <c r="C4600" s="15">
        <f>C4541</f>
        <v>46024</v>
      </c>
      <c r="D4600" s="13"/>
      <c r="E4600" s="13"/>
      <c r="F4600" s="14"/>
    </row>
    <row r="4601" spans="2:6" ht="17" thickBot="1">
      <c r="B4601" s="8"/>
      <c r="C4601" s="8"/>
      <c r="D4601" s="8"/>
      <c r="E4601" s="8"/>
    </row>
    <row r="4602" spans="2:6" ht="15" thickTop="1" thickBot="1">
      <c r="B4602" s="16" t="s">
        <v>13</v>
      </c>
      <c r="C4602" s="17" t="s">
        <v>14</v>
      </c>
      <c r="D4602" s="17" t="s">
        <v>15</v>
      </c>
      <c r="E4602" s="17" t="s">
        <v>16</v>
      </c>
      <c r="F4602" s="18" t="s">
        <v>17</v>
      </c>
    </row>
    <row r="4603" spans="2:6" ht="14" thickTop="1">
      <c r="B4603" s="19"/>
      <c r="C4603" s="19"/>
      <c r="D4603" s="19"/>
      <c r="E4603" s="19"/>
      <c r="F4603" s="19"/>
    </row>
    <row r="4604" spans="2:6" ht="14">
      <c r="B4604" s="77" t="s">
        <v>302</v>
      </c>
      <c r="C4604" s="21" t="s">
        <v>261</v>
      </c>
      <c r="D4604" s="21">
        <v>1</v>
      </c>
      <c r="E4604" s="22">
        <v>6300</v>
      </c>
      <c r="F4604" s="22">
        <f t="shared" ref="F4604:F4609" si="77">E4604*D4604</f>
        <v>6300</v>
      </c>
    </row>
    <row r="4605" spans="2:6" ht="14">
      <c r="B4605" s="77" t="s">
        <v>303</v>
      </c>
      <c r="C4605" s="21" t="s">
        <v>261</v>
      </c>
      <c r="D4605" s="21">
        <v>1</v>
      </c>
      <c r="E4605" s="22">
        <v>3500</v>
      </c>
      <c r="F4605" s="22">
        <f t="shared" si="77"/>
        <v>3500</v>
      </c>
    </row>
    <row r="4606" spans="2:6">
      <c r="B4606" s="20" t="s">
        <v>304</v>
      </c>
      <c r="C4606" s="21" t="s">
        <v>261</v>
      </c>
      <c r="D4606" s="21">
        <v>1</v>
      </c>
      <c r="E4606" s="22">
        <v>1200</v>
      </c>
      <c r="F4606" s="22">
        <f t="shared" si="77"/>
        <v>1200</v>
      </c>
    </row>
    <row r="4607" spans="2:6">
      <c r="B4607" s="20"/>
      <c r="C4607" s="21"/>
      <c r="D4607" s="21"/>
      <c r="E4607" s="22"/>
      <c r="F4607" s="22">
        <f t="shared" si="77"/>
        <v>0</v>
      </c>
    </row>
    <row r="4608" spans="2:6">
      <c r="B4608" s="20"/>
      <c r="C4608" s="21"/>
      <c r="D4608" s="21"/>
      <c r="E4608" s="22"/>
      <c r="F4608" s="22">
        <f t="shared" si="77"/>
        <v>0</v>
      </c>
    </row>
    <row r="4609" spans="2:6">
      <c r="B4609" s="20"/>
      <c r="C4609" s="21"/>
      <c r="D4609" s="21"/>
      <c r="E4609" s="22"/>
      <c r="F4609" s="22">
        <f t="shared" si="77"/>
        <v>0</v>
      </c>
    </row>
    <row r="4610" spans="2:6" ht="17" thickBot="1">
      <c r="B4610" s="6" t="s">
        <v>19</v>
      </c>
      <c r="C4610" s="8"/>
      <c r="D4610" s="8"/>
      <c r="E4610" s="8"/>
      <c r="F4610" s="23">
        <f>SUM(F4604:F4609)</f>
        <v>11000</v>
      </c>
    </row>
    <row r="4611" spans="2:6" ht="17" thickBot="1">
      <c r="B4611" s="8"/>
      <c r="C4611" s="8"/>
      <c r="D4611" s="8"/>
      <c r="E4611" s="8"/>
    </row>
    <row r="4612" spans="2:6" ht="15" thickTop="1" thickBot="1">
      <c r="B4612" s="16" t="s">
        <v>20</v>
      </c>
      <c r="C4612" s="17" t="s">
        <v>14</v>
      </c>
      <c r="D4612" s="17" t="s">
        <v>15</v>
      </c>
      <c r="E4612" s="17" t="s">
        <v>16</v>
      </c>
      <c r="F4612" s="18" t="s">
        <v>17</v>
      </c>
    </row>
    <row r="4613" spans="2:6" ht="17" thickTop="1">
      <c r="B4613" s="8"/>
      <c r="C4613" s="8"/>
      <c r="D4613" s="8"/>
      <c r="E4613" s="8"/>
    </row>
    <row r="4614" spans="2:6">
      <c r="B4614" s="24" t="s">
        <v>269</v>
      </c>
      <c r="C4614" s="20" t="s">
        <v>22</v>
      </c>
      <c r="D4614" s="20">
        <v>0.2</v>
      </c>
      <c r="E4614" s="22">
        <v>56000</v>
      </c>
      <c r="F4614" s="25">
        <f>E4614*D4614</f>
        <v>11200</v>
      </c>
    </row>
    <row r="4615" spans="2:6">
      <c r="B4615" s="20" t="s">
        <v>270</v>
      </c>
      <c r="C4615" s="20" t="s">
        <v>22</v>
      </c>
      <c r="D4615" s="20">
        <v>0.2</v>
      </c>
      <c r="E4615" s="22">
        <v>35000</v>
      </c>
      <c r="F4615" s="25">
        <f>E4615*D4615</f>
        <v>7000</v>
      </c>
    </row>
    <row r="4616" spans="2:6" ht="16">
      <c r="B4616" s="26"/>
      <c r="C4616" s="26"/>
      <c r="D4616" s="26"/>
      <c r="E4616" s="26"/>
      <c r="F4616" s="25">
        <f>E4616*D4616</f>
        <v>0</v>
      </c>
    </row>
    <row r="4617" spans="2:6" ht="16">
      <c r="B4617" s="26"/>
      <c r="C4617" s="26"/>
      <c r="D4617" s="26"/>
      <c r="E4617" s="26"/>
      <c r="F4617" s="25">
        <f>E4617*D4617</f>
        <v>0</v>
      </c>
    </row>
    <row r="4618" spans="2:6" ht="16">
      <c r="B4618" s="27" t="s">
        <v>25</v>
      </c>
      <c r="C4618" s="27" t="s">
        <v>26</v>
      </c>
      <c r="D4618" s="28">
        <v>0.32</v>
      </c>
      <c r="E4618" s="29">
        <f>SUM(E4614:E4617)*D4618</f>
        <v>29120</v>
      </c>
      <c r="F4618" s="25">
        <f>E4618*D4618</f>
        <v>9318.4</v>
      </c>
    </row>
    <row r="4619" spans="2:6" ht="16">
      <c r="B4619" s="8"/>
      <c r="C4619" s="8"/>
      <c r="D4619" s="8"/>
      <c r="E4619" s="8"/>
    </row>
    <row r="4620" spans="2:6" ht="17" thickBot="1">
      <c r="B4620" s="6" t="s">
        <v>27</v>
      </c>
      <c r="C4620" s="8"/>
      <c r="D4620" s="8"/>
      <c r="E4620" s="8"/>
      <c r="F4620" s="23">
        <f>SUM(F4614:F4619)</f>
        <v>27518.400000000001</v>
      </c>
    </row>
    <row r="4621" spans="2:6" ht="17" thickBot="1">
      <c r="B4621" s="8"/>
      <c r="C4621" s="8"/>
      <c r="D4621" s="8"/>
      <c r="E4621" s="8"/>
    </row>
    <row r="4622" spans="2:6" ht="15" thickTop="1" thickBot="1">
      <c r="B4622" s="16" t="s">
        <v>28</v>
      </c>
      <c r="C4622" s="17" t="s">
        <v>14</v>
      </c>
      <c r="D4622" s="17" t="s">
        <v>15</v>
      </c>
      <c r="E4622" s="17" t="s">
        <v>16</v>
      </c>
      <c r="F4622" s="18" t="s">
        <v>17</v>
      </c>
    </row>
    <row r="4623" spans="2:6" ht="17" thickTop="1">
      <c r="B4623" s="8"/>
      <c r="C4623" s="8"/>
      <c r="D4623" s="8"/>
      <c r="E4623" s="8"/>
    </row>
    <row r="4624" spans="2:6">
      <c r="B4624" s="20" t="s">
        <v>31</v>
      </c>
      <c r="C4624" s="20" t="s">
        <v>32</v>
      </c>
      <c r="D4624" s="68">
        <v>1</v>
      </c>
      <c r="E4624" s="22">
        <v>25000</v>
      </c>
      <c r="F4624" s="25">
        <f>E4624*D4624</f>
        <v>25000</v>
      </c>
    </row>
    <row r="4625" spans="2:6">
      <c r="B4625" s="20"/>
      <c r="C4625" s="20"/>
      <c r="D4625" s="68"/>
      <c r="E4625" s="22"/>
      <c r="F4625" s="25">
        <f>E4625*D4625</f>
        <v>0</v>
      </c>
    </row>
    <row r="4626" spans="2:6" ht="16">
      <c r="B4626" s="26"/>
      <c r="C4626" s="26"/>
      <c r="D4626" s="26"/>
      <c r="E4626" s="26"/>
      <c r="F4626" s="25">
        <f>E4626*D4626</f>
        <v>0</v>
      </c>
    </row>
    <row r="4627" spans="2:6" ht="16">
      <c r="B4627" s="26"/>
      <c r="C4627" s="26"/>
      <c r="D4627" s="26"/>
      <c r="E4627" s="26"/>
      <c r="F4627" s="25">
        <f>E4627*D4627</f>
        <v>0</v>
      </c>
    </row>
    <row r="4628" spans="2:6" ht="16">
      <c r="B4628" s="30"/>
      <c r="C4628" s="26"/>
      <c r="D4628" s="26"/>
      <c r="E4628" s="26"/>
      <c r="F4628" s="25">
        <f>E4628*D4628</f>
        <v>0</v>
      </c>
    </row>
    <row r="4629" spans="2:6" ht="16">
      <c r="B4629" s="8"/>
      <c r="C4629" s="8"/>
      <c r="D4629" s="8"/>
      <c r="E4629" s="8"/>
    </row>
    <row r="4630" spans="2:6" ht="14" thickBot="1">
      <c r="B4630" s="19" t="s">
        <v>33</v>
      </c>
      <c r="C4630" s="19"/>
      <c r="D4630" s="19"/>
      <c r="E4630" s="19"/>
      <c r="F4630" s="23">
        <f>SUM(F4624:F4629)</f>
        <v>25000</v>
      </c>
    </row>
    <row r="4631" spans="2:6" ht="16">
      <c r="B4631" s="8"/>
      <c r="C4631" s="8"/>
      <c r="D4631" s="8"/>
      <c r="E4631" s="8"/>
    </row>
    <row r="4632" spans="2:6" ht="17" thickBot="1">
      <c r="B4632" s="8"/>
      <c r="C4632" s="8"/>
      <c r="D4632" s="8"/>
      <c r="E4632" s="8"/>
    </row>
    <row r="4633" spans="2:6" ht="17" thickBot="1">
      <c r="B4633" s="31" t="s">
        <v>34</v>
      </c>
      <c r="C4633" s="13"/>
      <c r="D4633" s="13"/>
      <c r="E4633" s="13"/>
      <c r="F4633" s="32">
        <f>F4610+F4620+F4630</f>
        <v>63518.400000000001</v>
      </c>
    </row>
    <row r="4634" spans="2:6" ht="17" thickBot="1">
      <c r="B4634" s="31" t="s">
        <v>35</v>
      </c>
      <c r="C4634" s="13"/>
      <c r="D4634" s="13"/>
      <c r="E4634" s="33">
        <v>0.1</v>
      </c>
      <c r="F4634" s="32">
        <f>F4633*E4634</f>
        <v>6351.84</v>
      </c>
    </row>
    <row r="4635" spans="2:6" ht="17" thickBot="1">
      <c r="B4635" s="31" t="s">
        <v>36</v>
      </c>
      <c r="C4635" s="13"/>
      <c r="D4635" s="13"/>
      <c r="E4635" s="33">
        <v>0.1</v>
      </c>
      <c r="F4635" s="32">
        <f>F4633*E4635</f>
        <v>6351.84</v>
      </c>
    </row>
    <row r="4636" spans="2:6" ht="17" thickBot="1">
      <c r="B4636" s="34" t="s">
        <v>37</v>
      </c>
      <c r="C4636" s="35"/>
      <c r="D4636" s="35"/>
      <c r="E4636" s="35"/>
      <c r="F4636" s="32">
        <f>SUM(F4633:F4635)</f>
        <v>76222.080000000002</v>
      </c>
    </row>
    <row r="4637" spans="2:6" ht="17" thickBot="1">
      <c r="B4637" s="36"/>
      <c r="C4637" s="8"/>
      <c r="D4637" s="8"/>
      <c r="E4637" s="8"/>
    </row>
    <row r="4638" spans="2:6" ht="18" thickTop="1" thickBot="1">
      <c r="B4638" s="37" t="s">
        <v>38</v>
      </c>
      <c r="C4638" s="8"/>
      <c r="D4638" s="8"/>
      <c r="E4638" s="8"/>
    </row>
    <row r="4639" spans="2:6" ht="18" thickTop="1" thickBot="1">
      <c r="B4639" s="8"/>
      <c r="C4639" s="8"/>
      <c r="D4639" s="8"/>
      <c r="E4639" s="8"/>
    </row>
    <row r="4640" spans="2:6" ht="17" thickTop="1">
      <c r="B4640" s="38"/>
      <c r="C4640" s="13"/>
      <c r="D4640" s="13"/>
      <c r="E4640" s="39"/>
      <c r="F4640" s="40"/>
    </row>
    <row r="4641" spans="2:6" ht="16">
      <c r="B4641" s="38"/>
      <c r="C4641" s="13"/>
      <c r="D4641" s="13"/>
      <c r="E4641" s="41"/>
      <c r="F4641" s="42"/>
    </row>
    <row r="4642" spans="2:6" ht="16">
      <c r="B4642" s="38"/>
      <c r="C4642" s="13"/>
      <c r="D4642" s="13"/>
      <c r="E4642" s="41"/>
      <c r="F4642" s="42"/>
    </row>
    <row r="4643" spans="2:6" ht="17" thickBot="1">
      <c r="B4643" s="54"/>
      <c r="C4643" s="35"/>
      <c r="D4643" s="35"/>
      <c r="E4643" s="44"/>
      <c r="F4643" s="45"/>
    </row>
    <row r="4644" spans="2:6" ht="17" thickTop="1">
      <c r="B4644" s="46"/>
      <c r="C4644" s="46"/>
      <c r="D4644" s="46"/>
      <c r="E4644" s="47"/>
      <c r="F4644" s="47"/>
    </row>
    <row r="4645" spans="2:6" ht="14" thickBot="1">
      <c r="B4645" s="1" t="s">
        <v>0</v>
      </c>
      <c r="C4645" s="1"/>
    </row>
    <row r="4646" spans="2:6" ht="17" thickBot="1">
      <c r="B4646" s="1" t="s">
        <v>1</v>
      </c>
      <c r="C4646" s="1"/>
      <c r="E4646" s="4" t="s">
        <v>2</v>
      </c>
      <c r="F4646" s="5"/>
    </row>
    <row r="4648" spans="2:6">
      <c r="B4648" s="6"/>
    </row>
    <row r="4649" spans="2:6" ht="16">
      <c r="B4649" s="7" t="s">
        <v>3</v>
      </c>
      <c r="C4649" s="7"/>
      <c r="D4649" s="7"/>
      <c r="E4649" s="7"/>
      <c r="F4649" s="7"/>
    </row>
    <row r="4650" spans="2:6" ht="16">
      <c r="B4650" s="8"/>
      <c r="C4650" s="8"/>
      <c r="D4650" s="8"/>
      <c r="E4650" s="8"/>
    </row>
    <row r="4651" spans="2:6" ht="16">
      <c r="B4651" s="9" t="s">
        <v>4</v>
      </c>
      <c r="C4651" s="13" t="str">
        <f>C4593</f>
        <v>MEJORAMIENTO ESPACIO PUBLICO JJVV LUCILA GODOY ALCAYAGA</v>
      </c>
      <c r="D4651" s="13"/>
      <c r="E4651" s="13"/>
      <c r="F4651" s="14"/>
    </row>
    <row r="4652" spans="2:6" ht="16">
      <c r="B4652" s="12"/>
      <c r="C4652" s="8"/>
      <c r="D4652" s="8"/>
      <c r="E4652" s="8"/>
    </row>
    <row r="4653" spans="2:6" ht="16">
      <c r="B4653" s="9" t="s">
        <v>5</v>
      </c>
      <c r="C4653" s="13" t="s">
        <v>6</v>
      </c>
      <c r="D4653" s="13"/>
      <c r="E4653" s="13"/>
      <c r="F4653" s="14"/>
    </row>
    <row r="4654" spans="2:6" ht="16">
      <c r="B4654" s="9"/>
      <c r="C4654" s="13"/>
      <c r="D4654" s="13"/>
      <c r="E4654" s="13"/>
      <c r="F4654" s="14"/>
    </row>
    <row r="4655" spans="2:6" ht="16">
      <c r="B4655" s="9" t="s">
        <v>7</v>
      </c>
      <c r="C4655" s="13" t="str">
        <f>[1]LGA!A107</f>
        <v>7.1.5</v>
      </c>
      <c r="D4655" s="13"/>
      <c r="E4655" s="13"/>
      <c r="F4655" s="14"/>
    </row>
    <row r="4656" spans="2:6" ht="16">
      <c r="B4656" s="9" t="s">
        <v>8</v>
      </c>
      <c r="C4656" s="13" t="s">
        <v>305</v>
      </c>
      <c r="D4656" s="13"/>
      <c r="E4656" s="13"/>
      <c r="F4656" s="14"/>
    </row>
    <row r="4657" spans="2:6" ht="16">
      <c r="B4657" s="9" t="s">
        <v>10</v>
      </c>
      <c r="C4657" s="13" t="s">
        <v>301</v>
      </c>
      <c r="D4657" s="13"/>
      <c r="E4657" s="13"/>
      <c r="F4657" s="14"/>
    </row>
    <row r="4658" spans="2:6" ht="16">
      <c r="B4658" s="9" t="s">
        <v>12</v>
      </c>
      <c r="C4658" s="15">
        <f>C4600</f>
        <v>46024</v>
      </c>
      <c r="D4658" s="13"/>
      <c r="E4658" s="13"/>
      <c r="F4658" s="14"/>
    </row>
    <row r="4659" spans="2:6" ht="17" thickBot="1">
      <c r="B4659" s="8"/>
      <c r="C4659" s="8"/>
      <c r="D4659" s="8"/>
      <c r="E4659" s="8"/>
    </row>
    <row r="4660" spans="2:6" ht="15" thickTop="1" thickBot="1">
      <c r="B4660" s="16" t="s">
        <v>13</v>
      </c>
      <c r="C4660" s="17" t="s">
        <v>14</v>
      </c>
      <c r="D4660" s="17" t="s">
        <v>15</v>
      </c>
      <c r="E4660" s="17" t="s">
        <v>16</v>
      </c>
      <c r="F4660" s="18" t="s">
        <v>17</v>
      </c>
    </row>
    <row r="4661" spans="2:6" ht="14" thickTop="1">
      <c r="B4661" s="19"/>
      <c r="C4661" s="19"/>
      <c r="D4661" s="19"/>
      <c r="E4661" s="19"/>
      <c r="F4661" s="19"/>
    </row>
    <row r="4662" spans="2:6">
      <c r="B4662" s="20" t="str">
        <f>C4656</f>
        <v>Luminarias LED 60 [W]</v>
      </c>
      <c r="C4662" s="21" t="s">
        <v>179</v>
      </c>
      <c r="D4662" s="21">
        <v>1</v>
      </c>
      <c r="E4662" s="22">
        <v>65000</v>
      </c>
      <c r="F4662" s="22">
        <f t="shared" ref="F4662:F4667" si="78">E4662*D4662</f>
        <v>65000</v>
      </c>
    </row>
    <row r="4663" spans="2:6">
      <c r="B4663" s="20"/>
      <c r="C4663" s="21"/>
      <c r="D4663" s="21"/>
      <c r="E4663" s="22"/>
      <c r="F4663" s="22">
        <f t="shared" si="78"/>
        <v>0</v>
      </c>
    </row>
    <row r="4664" spans="2:6">
      <c r="B4664" s="20"/>
      <c r="C4664" s="21"/>
      <c r="D4664" s="21"/>
      <c r="E4664" s="22"/>
      <c r="F4664" s="22">
        <f t="shared" si="78"/>
        <v>0</v>
      </c>
    </row>
    <row r="4665" spans="2:6">
      <c r="B4665" s="20"/>
      <c r="C4665" s="21"/>
      <c r="D4665" s="21"/>
      <c r="E4665" s="22"/>
      <c r="F4665" s="22">
        <f t="shared" si="78"/>
        <v>0</v>
      </c>
    </row>
    <row r="4666" spans="2:6">
      <c r="B4666" s="20"/>
      <c r="C4666" s="21"/>
      <c r="D4666" s="21"/>
      <c r="E4666" s="22"/>
      <c r="F4666" s="22">
        <f t="shared" si="78"/>
        <v>0</v>
      </c>
    </row>
    <row r="4667" spans="2:6">
      <c r="B4667" s="20"/>
      <c r="C4667" s="21"/>
      <c r="D4667" s="21"/>
      <c r="E4667" s="22"/>
      <c r="F4667" s="22">
        <f t="shared" si="78"/>
        <v>0</v>
      </c>
    </row>
    <row r="4668" spans="2:6" ht="17" thickBot="1">
      <c r="B4668" s="6" t="s">
        <v>19</v>
      </c>
      <c r="C4668" s="8"/>
      <c r="D4668" s="8"/>
      <c r="E4668" s="8"/>
      <c r="F4668" s="23">
        <f>SUM(F4662:F4667)</f>
        <v>65000</v>
      </c>
    </row>
    <row r="4669" spans="2:6" ht="17" thickBot="1">
      <c r="B4669" s="8"/>
      <c r="C4669" s="8"/>
      <c r="D4669" s="8"/>
      <c r="E4669" s="8"/>
    </row>
    <row r="4670" spans="2:6" ht="15" thickTop="1" thickBot="1">
      <c r="B4670" s="16" t="s">
        <v>20</v>
      </c>
      <c r="C4670" s="17" t="s">
        <v>14</v>
      </c>
      <c r="D4670" s="17" t="s">
        <v>15</v>
      </c>
      <c r="E4670" s="17" t="s">
        <v>16</v>
      </c>
      <c r="F4670" s="18" t="s">
        <v>17</v>
      </c>
    </row>
    <row r="4671" spans="2:6" ht="17" thickTop="1">
      <c r="B4671" s="8"/>
      <c r="C4671" s="8"/>
      <c r="D4671" s="8"/>
      <c r="E4671" s="8"/>
    </row>
    <row r="4672" spans="2:6">
      <c r="B4672" s="24" t="s">
        <v>269</v>
      </c>
      <c r="C4672" s="20" t="s">
        <v>22</v>
      </c>
      <c r="D4672" s="20">
        <v>2</v>
      </c>
      <c r="E4672" s="22">
        <v>56000</v>
      </c>
      <c r="F4672" s="25">
        <f>E4672*D4672</f>
        <v>112000</v>
      </c>
    </row>
    <row r="4673" spans="2:6">
      <c r="B4673" s="20" t="s">
        <v>270</v>
      </c>
      <c r="C4673" s="20" t="s">
        <v>22</v>
      </c>
      <c r="D4673" s="20">
        <v>2</v>
      </c>
      <c r="E4673" s="22">
        <v>35000</v>
      </c>
      <c r="F4673" s="25">
        <f>E4673*D4673</f>
        <v>70000</v>
      </c>
    </row>
    <row r="4674" spans="2:6" ht="16">
      <c r="B4674" s="26"/>
      <c r="C4674" s="26"/>
      <c r="D4674" s="26"/>
      <c r="E4674" s="26"/>
      <c r="F4674" s="25">
        <f>E4674*D4674</f>
        <v>0</v>
      </c>
    </row>
    <row r="4675" spans="2:6" ht="16">
      <c r="B4675" s="26"/>
      <c r="C4675" s="26"/>
      <c r="D4675" s="26"/>
      <c r="E4675" s="26"/>
      <c r="F4675" s="25">
        <f>E4675*D4675</f>
        <v>0</v>
      </c>
    </row>
    <row r="4676" spans="2:6" ht="16">
      <c r="B4676" s="27" t="s">
        <v>25</v>
      </c>
      <c r="C4676" s="27" t="s">
        <v>26</v>
      </c>
      <c r="D4676" s="28">
        <v>0.32</v>
      </c>
      <c r="E4676" s="29">
        <f>SUM(E4672:E4675)*D4676</f>
        <v>29120</v>
      </c>
      <c r="F4676" s="25">
        <f>E4676*D4676</f>
        <v>9318.4</v>
      </c>
    </row>
    <row r="4677" spans="2:6" ht="16">
      <c r="B4677" s="8"/>
      <c r="C4677" s="8"/>
      <c r="D4677" s="8"/>
      <c r="E4677" s="8"/>
    </row>
    <row r="4678" spans="2:6" ht="17" thickBot="1">
      <c r="B4678" s="6" t="s">
        <v>27</v>
      </c>
      <c r="C4678" s="8"/>
      <c r="D4678" s="8"/>
      <c r="E4678" s="8"/>
      <c r="F4678" s="23">
        <f>SUM(F4672:F4677)</f>
        <v>191318.39999999999</v>
      </c>
    </row>
    <row r="4679" spans="2:6" ht="17" thickBot="1">
      <c r="B4679" s="8"/>
      <c r="C4679" s="8"/>
      <c r="D4679" s="8"/>
      <c r="E4679" s="8"/>
    </row>
    <row r="4680" spans="2:6" ht="15" thickTop="1" thickBot="1">
      <c r="B4680" s="16" t="s">
        <v>28</v>
      </c>
      <c r="C4680" s="17" t="s">
        <v>14</v>
      </c>
      <c r="D4680" s="17" t="s">
        <v>15</v>
      </c>
      <c r="E4680" s="17" t="s">
        <v>16</v>
      </c>
      <c r="F4680" s="18" t="s">
        <v>17</v>
      </c>
    </row>
    <row r="4681" spans="2:6" ht="17" thickTop="1">
      <c r="B4681" s="8"/>
      <c r="C4681" s="8"/>
      <c r="D4681" s="8"/>
      <c r="E4681" s="8"/>
    </row>
    <row r="4682" spans="2:6">
      <c r="B4682" s="20" t="s">
        <v>62</v>
      </c>
      <c r="C4682" s="20" t="s">
        <v>43</v>
      </c>
      <c r="D4682" s="68">
        <v>1</v>
      </c>
      <c r="E4682" s="22">
        <v>15000</v>
      </c>
      <c r="F4682" s="25">
        <f>E4682*D4682</f>
        <v>15000</v>
      </c>
    </row>
    <row r="4683" spans="2:6">
      <c r="B4683" s="20" t="s">
        <v>31</v>
      </c>
      <c r="C4683" s="20" t="s">
        <v>32</v>
      </c>
      <c r="D4683" s="68">
        <v>1</v>
      </c>
      <c r="E4683" s="22">
        <v>25000</v>
      </c>
      <c r="F4683" s="25">
        <f>E4683*D4683</f>
        <v>25000</v>
      </c>
    </row>
    <row r="4684" spans="2:6" ht="16">
      <c r="B4684" s="26"/>
      <c r="C4684" s="26"/>
      <c r="D4684" s="26"/>
      <c r="E4684" s="26"/>
      <c r="F4684" s="25">
        <f>E4684*D4684</f>
        <v>0</v>
      </c>
    </row>
    <row r="4685" spans="2:6" ht="16">
      <c r="B4685" s="26"/>
      <c r="C4685" s="26"/>
      <c r="D4685" s="26"/>
      <c r="E4685" s="26"/>
      <c r="F4685" s="25">
        <f>E4685*D4685</f>
        <v>0</v>
      </c>
    </row>
    <row r="4686" spans="2:6" ht="16">
      <c r="B4686" s="30"/>
      <c r="C4686" s="26"/>
      <c r="D4686" s="26"/>
      <c r="E4686" s="26"/>
      <c r="F4686" s="25">
        <f>E4686*D4686</f>
        <v>0</v>
      </c>
    </row>
    <row r="4687" spans="2:6" ht="16">
      <c r="B4687" s="8"/>
      <c r="C4687" s="8"/>
      <c r="D4687" s="8"/>
      <c r="E4687" s="8"/>
    </row>
    <row r="4688" spans="2:6" ht="14" thickBot="1">
      <c r="B4688" s="19" t="s">
        <v>33</v>
      </c>
      <c r="C4688" s="19"/>
      <c r="D4688" s="19"/>
      <c r="E4688" s="19"/>
      <c r="F4688" s="23">
        <f>SUM(F4682:F4687)</f>
        <v>40000</v>
      </c>
    </row>
    <row r="4689" spans="2:6" ht="16">
      <c r="B4689" s="8"/>
      <c r="C4689" s="8"/>
      <c r="D4689" s="8"/>
      <c r="E4689" s="8"/>
    </row>
    <row r="4690" spans="2:6" ht="17" thickBot="1">
      <c r="B4690" s="8"/>
      <c r="C4690" s="8"/>
      <c r="D4690" s="8"/>
      <c r="E4690" s="8"/>
    </row>
    <row r="4691" spans="2:6" ht="17" thickBot="1">
      <c r="B4691" s="31" t="s">
        <v>34</v>
      </c>
      <c r="C4691" s="13"/>
      <c r="D4691" s="13"/>
      <c r="E4691" s="13"/>
      <c r="F4691" s="32">
        <f>F4668+F4678+F4688</f>
        <v>296318.40000000002</v>
      </c>
    </row>
    <row r="4692" spans="2:6" ht="17" thickBot="1">
      <c r="B4692" s="31" t="s">
        <v>35</v>
      </c>
      <c r="C4692" s="13"/>
      <c r="D4692" s="13"/>
      <c r="E4692" s="33">
        <v>0.1</v>
      </c>
      <c r="F4692" s="32">
        <f>F4691*E4692</f>
        <v>29631.840000000004</v>
      </c>
    </row>
    <row r="4693" spans="2:6" ht="17" thickBot="1">
      <c r="B4693" s="31" t="s">
        <v>36</v>
      </c>
      <c r="C4693" s="13"/>
      <c r="D4693" s="13"/>
      <c r="E4693" s="33">
        <v>0.1</v>
      </c>
      <c r="F4693" s="32">
        <f>F4691*E4693</f>
        <v>29631.840000000004</v>
      </c>
    </row>
    <row r="4694" spans="2:6" ht="17" thickBot="1">
      <c r="B4694" s="34" t="s">
        <v>37</v>
      </c>
      <c r="C4694" s="35"/>
      <c r="D4694" s="35"/>
      <c r="E4694" s="35"/>
      <c r="F4694" s="32">
        <f>SUM(F4691:F4693)</f>
        <v>355582.08000000007</v>
      </c>
    </row>
    <row r="4695" spans="2:6" ht="17" thickBot="1">
      <c r="B4695" s="36"/>
      <c r="C4695" s="8"/>
      <c r="D4695" s="8"/>
      <c r="E4695" s="8"/>
    </row>
    <row r="4696" spans="2:6" ht="18" thickTop="1" thickBot="1">
      <c r="B4696" s="37" t="s">
        <v>38</v>
      </c>
      <c r="C4696" s="8"/>
      <c r="D4696" s="8"/>
      <c r="E4696" s="8"/>
    </row>
    <row r="4697" spans="2:6" ht="18" thickTop="1" thickBot="1">
      <c r="B4697" s="8"/>
      <c r="C4697" s="8"/>
      <c r="D4697" s="8"/>
      <c r="E4697" s="8"/>
    </row>
    <row r="4698" spans="2:6" ht="17" thickTop="1">
      <c r="B4698" s="38"/>
      <c r="C4698" s="13"/>
      <c r="D4698" s="13"/>
      <c r="E4698" s="39"/>
      <c r="F4698" s="40"/>
    </row>
    <row r="4699" spans="2:6" ht="16">
      <c r="B4699" s="38"/>
      <c r="C4699" s="13"/>
      <c r="D4699" s="13"/>
      <c r="E4699" s="41"/>
      <c r="F4699" s="42"/>
    </row>
    <row r="4700" spans="2:6" ht="16">
      <c r="B4700" s="38"/>
      <c r="C4700" s="13"/>
      <c r="D4700" s="13"/>
      <c r="E4700" s="41"/>
      <c r="F4700" s="42"/>
    </row>
    <row r="4701" spans="2:6" ht="17" thickBot="1">
      <c r="B4701" s="54"/>
      <c r="C4701" s="35"/>
      <c r="D4701" s="35"/>
      <c r="E4701" s="44"/>
      <c r="F4701" s="45"/>
    </row>
    <row r="4702" spans="2:6" ht="17" thickTop="1">
      <c r="B4702" s="46"/>
      <c r="C4702" s="46"/>
      <c r="D4702" s="46"/>
      <c r="E4702" s="47"/>
      <c r="F4702" s="47"/>
    </row>
    <row r="4703" spans="2:6" ht="14" thickBot="1">
      <c r="B4703" s="1" t="s">
        <v>0</v>
      </c>
      <c r="C4703" s="1"/>
    </row>
    <row r="4704" spans="2:6" ht="17" thickBot="1">
      <c r="B4704" s="1" t="s">
        <v>1</v>
      </c>
      <c r="C4704" s="1"/>
      <c r="E4704" s="4" t="s">
        <v>2</v>
      </c>
      <c r="F4704" s="5"/>
    </row>
    <row r="4706" spans="2:6">
      <c r="B4706" s="6"/>
    </row>
    <row r="4707" spans="2:6" ht="16">
      <c r="B4707" s="7" t="s">
        <v>3</v>
      </c>
      <c r="C4707" s="7"/>
      <c r="D4707" s="7"/>
      <c r="E4707" s="7"/>
      <c r="F4707" s="7"/>
    </row>
    <row r="4708" spans="2:6" ht="16">
      <c r="B4708" s="8"/>
      <c r="C4708" s="8"/>
      <c r="D4708" s="8"/>
      <c r="E4708" s="8"/>
    </row>
    <row r="4709" spans="2:6" ht="16">
      <c r="B4709" s="9" t="s">
        <v>4</v>
      </c>
      <c r="C4709" s="13" t="str">
        <f>C4651</f>
        <v>MEJORAMIENTO ESPACIO PUBLICO JJVV LUCILA GODOY ALCAYAGA</v>
      </c>
      <c r="D4709" s="13"/>
      <c r="E4709" s="13"/>
      <c r="F4709" s="14"/>
    </row>
    <row r="4710" spans="2:6" ht="16">
      <c r="B4710" s="12"/>
      <c r="C4710" s="8"/>
      <c r="D4710" s="8"/>
      <c r="E4710" s="8"/>
    </row>
    <row r="4711" spans="2:6" ht="16">
      <c r="B4711" s="9" t="s">
        <v>5</v>
      </c>
      <c r="C4711" s="13" t="s">
        <v>6</v>
      </c>
      <c r="D4711" s="13"/>
      <c r="E4711" s="13"/>
      <c r="F4711" s="14"/>
    </row>
    <row r="4712" spans="2:6" ht="16">
      <c r="B4712" s="9"/>
      <c r="C4712" s="13"/>
      <c r="D4712" s="13"/>
      <c r="E4712" s="13"/>
      <c r="F4712" s="14"/>
    </row>
    <row r="4713" spans="2:6" ht="16">
      <c r="B4713" s="9" t="s">
        <v>7</v>
      </c>
      <c r="C4713" s="13" t="str">
        <f>[1]LGA!A108</f>
        <v>7.1.6</v>
      </c>
      <c r="D4713" s="13"/>
      <c r="E4713" s="13"/>
      <c r="F4713" s="14"/>
    </row>
    <row r="4714" spans="2:6" ht="16">
      <c r="B4714" s="9" t="s">
        <v>8</v>
      </c>
      <c r="C4714" s="13" t="s">
        <v>306</v>
      </c>
      <c r="D4714" s="13"/>
      <c r="E4714" s="13"/>
      <c r="F4714" s="14"/>
    </row>
    <row r="4715" spans="2:6" ht="16">
      <c r="B4715" s="9" t="s">
        <v>10</v>
      </c>
      <c r="C4715" s="13" t="s">
        <v>301</v>
      </c>
      <c r="D4715" s="13"/>
      <c r="E4715" s="13"/>
      <c r="F4715" s="14"/>
    </row>
    <row r="4716" spans="2:6" ht="16">
      <c r="B4716" s="9" t="s">
        <v>12</v>
      </c>
      <c r="C4716" s="15">
        <f>C4658</f>
        <v>46024</v>
      </c>
      <c r="D4716" s="13"/>
      <c r="E4716" s="13"/>
      <c r="F4716" s="14"/>
    </row>
    <row r="4717" spans="2:6" ht="17" thickBot="1">
      <c r="B4717" s="8"/>
      <c r="C4717" s="8"/>
      <c r="D4717" s="8"/>
      <c r="E4717" s="8"/>
    </row>
    <row r="4718" spans="2:6" ht="15" thickTop="1" thickBot="1">
      <c r="B4718" s="16" t="s">
        <v>13</v>
      </c>
      <c r="C4718" s="17" t="s">
        <v>14</v>
      </c>
      <c r="D4718" s="17" t="s">
        <v>15</v>
      </c>
      <c r="E4718" s="17" t="s">
        <v>16</v>
      </c>
      <c r="F4718" s="18" t="s">
        <v>17</v>
      </c>
    </row>
    <row r="4719" spans="2:6" ht="14" thickTop="1">
      <c r="B4719" s="19"/>
      <c r="C4719" s="19"/>
      <c r="D4719" s="19"/>
      <c r="E4719" s="19"/>
      <c r="F4719" s="19"/>
    </row>
    <row r="4720" spans="2:6">
      <c r="B4720" s="20" t="str">
        <f>C4714</f>
        <v>Poste Cónico 6 m</v>
      </c>
      <c r="C4720" s="21" t="s">
        <v>179</v>
      </c>
      <c r="D4720" s="21">
        <v>1</v>
      </c>
      <c r="E4720" s="22">
        <v>320000</v>
      </c>
      <c r="F4720" s="22">
        <f t="shared" ref="F4720:F4725" si="79">E4720*D4720</f>
        <v>320000</v>
      </c>
    </row>
    <row r="4721" spans="2:6">
      <c r="B4721" s="20"/>
      <c r="C4721" s="21"/>
      <c r="D4721" s="21"/>
      <c r="E4721" s="22"/>
      <c r="F4721" s="22">
        <f t="shared" si="79"/>
        <v>0</v>
      </c>
    </row>
    <row r="4722" spans="2:6">
      <c r="B4722" s="20"/>
      <c r="C4722" s="21"/>
      <c r="D4722" s="21"/>
      <c r="E4722" s="22"/>
      <c r="F4722" s="22">
        <f t="shared" si="79"/>
        <v>0</v>
      </c>
    </row>
    <row r="4723" spans="2:6">
      <c r="B4723" s="20"/>
      <c r="C4723" s="21"/>
      <c r="D4723" s="21"/>
      <c r="E4723" s="22"/>
      <c r="F4723" s="22">
        <f t="shared" si="79"/>
        <v>0</v>
      </c>
    </row>
    <row r="4724" spans="2:6">
      <c r="B4724" s="20"/>
      <c r="C4724" s="21"/>
      <c r="D4724" s="21"/>
      <c r="E4724" s="22"/>
      <c r="F4724" s="22">
        <f t="shared" si="79"/>
        <v>0</v>
      </c>
    </row>
    <row r="4725" spans="2:6">
      <c r="B4725" s="20"/>
      <c r="C4725" s="21"/>
      <c r="D4725" s="21"/>
      <c r="E4725" s="22"/>
      <c r="F4725" s="22">
        <f t="shared" si="79"/>
        <v>0</v>
      </c>
    </row>
    <row r="4726" spans="2:6" ht="17" thickBot="1">
      <c r="B4726" s="6" t="s">
        <v>19</v>
      </c>
      <c r="C4726" s="8"/>
      <c r="D4726" s="8"/>
      <c r="E4726" s="8"/>
      <c r="F4726" s="23">
        <f>SUM(F4720:F4725)</f>
        <v>320000</v>
      </c>
    </row>
    <row r="4727" spans="2:6" ht="17" thickBot="1">
      <c r="B4727" s="8"/>
      <c r="C4727" s="8"/>
      <c r="D4727" s="8"/>
      <c r="E4727" s="8"/>
    </row>
    <row r="4728" spans="2:6" ht="15" thickTop="1" thickBot="1">
      <c r="B4728" s="16" t="s">
        <v>20</v>
      </c>
      <c r="C4728" s="17" t="s">
        <v>14</v>
      </c>
      <c r="D4728" s="17" t="s">
        <v>15</v>
      </c>
      <c r="E4728" s="17" t="s">
        <v>16</v>
      </c>
      <c r="F4728" s="18" t="s">
        <v>17</v>
      </c>
    </row>
    <row r="4729" spans="2:6" ht="17" thickTop="1">
      <c r="B4729" s="8"/>
      <c r="C4729" s="8"/>
      <c r="D4729" s="8"/>
      <c r="E4729" s="8"/>
    </row>
    <row r="4730" spans="2:6">
      <c r="B4730" s="24" t="s">
        <v>269</v>
      </c>
      <c r="C4730" s="20" t="s">
        <v>22</v>
      </c>
      <c r="D4730" s="20">
        <v>2</v>
      </c>
      <c r="E4730" s="22">
        <v>56000</v>
      </c>
      <c r="F4730" s="25">
        <f>E4730*D4730</f>
        <v>112000</v>
      </c>
    </row>
    <row r="4731" spans="2:6">
      <c r="B4731" s="20" t="s">
        <v>270</v>
      </c>
      <c r="C4731" s="20" t="s">
        <v>22</v>
      </c>
      <c r="D4731" s="20">
        <v>2</v>
      </c>
      <c r="E4731" s="22">
        <v>35000</v>
      </c>
      <c r="F4731" s="25">
        <f>E4731*D4731</f>
        <v>70000</v>
      </c>
    </row>
    <row r="4732" spans="2:6" ht="16">
      <c r="B4732" s="26"/>
      <c r="C4732" s="26"/>
      <c r="D4732" s="26"/>
      <c r="E4732" s="26"/>
      <c r="F4732" s="25">
        <f>E4732*D4732</f>
        <v>0</v>
      </c>
    </row>
    <row r="4733" spans="2:6" ht="16">
      <c r="B4733" s="26"/>
      <c r="C4733" s="26"/>
      <c r="D4733" s="26"/>
      <c r="E4733" s="26"/>
      <c r="F4733" s="25">
        <f>E4733*D4733</f>
        <v>0</v>
      </c>
    </row>
    <row r="4734" spans="2:6" ht="16">
      <c r="B4734" s="27" t="s">
        <v>25</v>
      </c>
      <c r="C4734" s="27" t="s">
        <v>26</v>
      </c>
      <c r="D4734" s="28">
        <v>0.32</v>
      </c>
      <c r="E4734" s="29">
        <f>SUM(E4730:E4733)*D4734</f>
        <v>29120</v>
      </c>
      <c r="F4734" s="25">
        <f>E4734*D4734</f>
        <v>9318.4</v>
      </c>
    </row>
    <row r="4735" spans="2:6" ht="16">
      <c r="B4735" s="8"/>
      <c r="C4735" s="8"/>
      <c r="D4735" s="8"/>
      <c r="E4735" s="8"/>
    </row>
    <row r="4736" spans="2:6" ht="17" thickBot="1">
      <c r="B4736" s="6" t="s">
        <v>27</v>
      </c>
      <c r="C4736" s="8"/>
      <c r="D4736" s="8"/>
      <c r="E4736" s="8"/>
      <c r="F4736" s="23">
        <f>SUM(F4730:F4735)</f>
        <v>191318.39999999999</v>
      </c>
    </row>
    <row r="4737" spans="2:6" ht="17" thickBot="1">
      <c r="B4737" s="8"/>
      <c r="C4737" s="8"/>
      <c r="D4737" s="8"/>
      <c r="E4737" s="8"/>
    </row>
    <row r="4738" spans="2:6" ht="15" thickTop="1" thickBot="1">
      <c r="B4738" s="16" t="s">
        <v>28</v>
      </c>
      <c r="C4738" s="17" t="s">
        <v>14</v>
      </c>
      <c r="D4738" s="17" t="s">
        <v>15</v>
      </c>
      <c r="E4738" s="17" t="s">
        <v>16</v>
      </c>
      <c r="F4738" s="18" t="s">
        <v>17</v>
      </c>
    </row>
    <row r="4739" spans="2:6" ht="17" thickTop="1">
      <c r="B4739" s="8"/>
      <c r="C4739" s="8"/>
      <c r="D4739" s="8"/>
      <c r="E4739" s="8"/>
    </row>
    <row r="4740" spans="2:6">
      <c r="B4740" s="20" t="s">
        <v>62</v>
      </c>
      <c r="C4740" s="20" t="s">
        <v>43</v>
      </c>
      <c r="D4740" s="68">
        <v>1</v>
      </c>
      <c r="E4740" s="22">
        <v>15000</v>
      </c>
      <c r="F4740" s="25">
        <f>E4740*D4740</f>
        <v>15000</v>
      </c>
    </row>
    <row r="4741" spans="2:6">
      <c r="B4741" s="20" t="s">
        <v>31</v>
      </c>
      <c r="C4741" s="20" t="s">
        <v>32</v>
      </c>
      <c r="D4741" s="68">
        <v>1</v>
      </c>
      <c r="E4741" s="22">
        <v>25000</v>
      </c>
      <c r="F4741" s="25">
        <f>E4741*D4741</f>
        <v>25000</v>
      </c>
    </row>
    <row r="4742" spans="2:6" ht="16">
      <c r="B4742" s="26"/>
      <c r="C4742" s="26"/>
      <c r="D4742" s="26"/>
      <c r="E4742" s="26"/>
      <c r="F4742" s="25">
        <f>E4742*D4742</f>
        <v>0</v>
      </c>
    </row>
    <row r="4743" spans="2:6" ht="16">
      <c r="B4743" s="26"/>
      <c r="C4743" s="26"/>
      <c r="D4743" s="26"/>
      <c r="E4743" s="26"/>
      <c r="F4743" s="25">
        <f>E4743*D4743</f>
        <v>0</v>
      </c>
    </row>
    <row r="4744" spans="2:6" ht="16">
      <c r="B4744" s="30"/>
      <c r="C4744" s="26"/>
      <c r="D4744" s="26"/>
      <c r="E4744" s="26"/>
      <c r="F4744" s="25">
        <f>E4744*D4744</f>
        <v>0</v>
      </c>
    </row>
    <row r="4745" spans="2:6" ht="16">
      <c r="B4745" s="8"/>
      <c r="C4745" s="8"/>
      <c r="D4745" s="8"/>
      <c r="E4745" s="8"/>
    </row>
    <row r="4746" spans="2:6" ht="14" thickBot="1">
      <c r="B4746" s="19" t="s">
        <v>33</v>
      </c>
      <c r="C4746" s="19"/>
      <c r="D4746" s="19"/>
      <c r="E4746" s="19"/>
      <c r="F4746" s="23">
        <f>SUM(F4740:F4745)</f>
        <v>40000</v>
      </c>
    </row>
    <row r="4747" spans="2:6" ht="16">
      <c r="B4747" s="8"/>
      <c r="C4747" s="8"/>
      <c r="D4747" s="8"/>
      <c r="E4747" s="8"/>
    </row>
    <row r="4748" spans="2:6" ht="17" thickBot="1">
      <c r="B4748" s="8"/>
      <c r="C4748" s="8"/>
      <c r="D4748" s="8"/>
      <c r="E4748" s="8"/>
    </row>
    <row r="4749" spans="2:6" ht="17" thickBot="1">
      <c r="B4749" s="31" t="s">
        <v>34</v>
      </c>
      <c r="C4749" s="13"/>
      <c r="D4749" s="13"/>
      <c r="E4749" s="13"/>
      <c r="F4749" s="32">
        <f>F4726+F4736+F4746</f>
        <v>551318.4</v>
      </c>
    </row>
    <row r="4750" spans="2:6" ht="17" thickBot="1">
      <c r="B4750" s="31" t="s">
        <v>35</v>
      </c>
      <c r="C4750" s="13"/>
      <c r="D4750" s="13"/>
      <c r="E4750" s="33">
        <v>0.1</v>
      </c>
      <c r="F4750" s="32">
        <f>F4749*E4750</f>
        <v>55131.840000000004</v>
      </c>
    </row>
    <row r="4751" spans="2:6" ht="17" thickBot="1">
      <c r="B4751" s="31" t="s">
        <v>36</v>
      </c>
      <c r="C4751" s="13"/>
      <c r="D4751" s="13"/>
      <c r="E4751" s="33">
        <v>0.1</v>
      </c>
      <c r="F4751" s="32">
        <f>F4749*E4751</f>
        <v>55131.840000000004</v>
      </c>
    </row>
    <row r="4752" spans="2:6" ht="17" thickBot="1">
      <c r="B4752" s="34" t="s">
        <v>37</v>
      </c>
      <c r="C4752" s="35"/>
      <c r="D4752" s="35"/>
      <c r="E4752" s="35"/>
      <c r="F4752" s="32">
        <f>SUM(F4749:F4751)</f>
        <v>661582.07999999996</v>
      </c>
    </row>
    <row r="4753" spans="2:6" ht="17" thickBot="1">
      <c r="B4753" s="36"/>
      <c r="C4753" s="8"/>
      <c r="D4753" s="8"/>
      <c r="E4753" s="8"/>
    </row>
    <row r="4754" spans="2:6" ht="18" thickTop="1" thickBot="1">
      <c r="B4754" s="37" t="s">
        <v>38</v>
      </c>
      <c r="C4754" s="8"/>
      <c r="D4754" s="8"/>
      <c r="E4754" s="8"/>
    </row>
    <row r="4755" spans="2:6" ht="18" thickTop="1" thickBot="1">
      <c r="B4755" s="8"/>
      <c r="C4755" s="8"/>
      <c r="D4755" s="8"/>
      <c r="E4755" s="8"/>
    </row>
    <row r="4756" spans="2:6" ht="17" thickTop="1">
      <c r="B4756" s="38"/>
      <c r="C4756" s="13"/>
      <c r="D4756" s="13"/>
      <c r="E4756" s="39"/>
      <c r="F4756" s="40"/>
    </row>
    <row r="4757" spans="2:6" ht="16">
      <c r="B4757" s="38"/>
      <c r="C4757" s="13"/>
      <c r="D4757" s="13"/>
      <c r="E4757" s="41"/>
      <c r="F4757" s="42"/>
    </row>
    <row r="4758" spans="2:6" ht="16">
      <c r="B4758" s="38"/>
      <c r="C4758" s="13"/>
      <c r="D4758" s="13"/>
      <c r="E4758" s="41"/>
      <c r="F4758" s="42"/>
    </row>
    <row r="4759" spans="2:6" ht="17" thickBot="1">
      <c r="B4759" s="54"/>
      <c r="C4759" s="35"/>
      <c r="D4759" s="35"/>
      <c r="E4759" s="44"/>
      <c r="F4759" s="45"/>
    </row>
    <row r="4760" spans="2:6" ht="14" thickTop="1"/>
    <row r="4761" spans="2:6" ht="14" thickBot="1">
      <c r="B4761" s="1" t="s">
        <v>0</v>
      </c>
      <c r="C4761" s="1"/>
    </row>
    <row r="4762" spans="2:6" ht="17" thickBot="1">
      <c r="B4762" s="1" t="s">
        <v>1</v>
      </c>
      <c r="C4762" s="1"/>
      <c r="E4762" s="4" t="s">
        <v>2</v>
      </c>
      <c r="F4762" s="5"/>
    </row>
    <row r="4764" spans="2:6">
      <c r="B4764" s="6"/>
    </row>
    <row r="4765" spans="2:6" ht="16">
      <c r="B4765" s="7" t="s">
        <v>3</v>
      </c>
      <c r="C4765" s="7"/>
      <c r="D4765" s="7"/>
      <c r="E4765" s="7"/>
      <c r="F4765" s="7"/>
    </row>
    <row r="4766" spans="2:6" ht="16">
      <c r="B4766" s="8"/>
      <c r="C4766" s="8"/>
      <c r="D4766" s="8"/>
      <c r="E4766" s="8"/>
    </row>
    <row r="4767" spans="2:6" ht="16">
      <c r="B4767" s="9" t="s">
        <v>4</v>
      </c>
      <c r="C4767" s="13" t="str">
        <f>C4709</f>
        <v>MEJORAMIENTO ESPACIO PUBLICO JJVV LUCILA GODOY ALCAYAGA</v>
      </c>
      <c r="D4767" s="13"/>
      <c r="E4767" s="13"/>
      <c r="F4767" s="14"/>
    </row>
    <row r="4768" spans="2:6" ht="16">
      <c r="B4768" s="12"/>
      <c r="C4768" s="8"/>
      <c r="D4768" s="8"/>
      <c r="E4768" s="8"/>
    </row>
    <row r="4769" spans="2:6" ht="16">
      <c r="B4769" s="9" t="s">
        <v>5</v>
      </c>
      <c r="C4769" s="13" t="s">
        <v>6</v>
      </c>
      <c r="D4769" s="13"/>
      <c r="E4769" s="13"/>
      <c r="F4769" s="14"/>
    </row>
    <row r="4770" spans="2:6" ht="16">
      <c r="B4770" s="9"/>
      <c r="C4770" s="13"/>
      <c r="D4770" s="13"/>
      <c r="E4770" s="13"/>
      <c r="F4770" s="14"/>
    </row>
    <row r="4771" spans="2:6" ht="16">
      <c r="B4771" s="9" t="s">
        <v>7</v>
      </c>
      <c r="C4771" s="13" t="str">
        <f>[1]LGA!A109</f>
        <v>7.1.7</v>
      </c>
      <c r="D4771" s="13"/>
      <c r="E4771" s="13"/>
      <c r="F4771" s="14"/>
    </row>
    <row r="4772" spans="2:6" ht="16">
      <c r="B4772" s="9" t="s">
        <v>8</v>
      </c>
      <c r="C4772" s="13" t="s">
        <v>307</v>
      </c>
      <c r="D4772" s="13"/>
      <c r="E4772" s="13"/>
      <c r="F4772" s="14"/>
    </row>
    <row r="4773" spans="2:6" ht="16">
      <c r="B4773" s="9" t="s">
        <v>10</v>
      </c>
      <c r="C4773" s="13" t="s">
        <v>301</v>
      </c>
      <c r="D4773" s="13"/>
      <c r="E4773" s="13"/>
      <c r="F4773" s="14"/>
    </row>
    <row r="4774" spans="2:6" ht="16">
      <c r="B4774" s="9" t="s">
        <v>12</v>
      </c>
      <c r="C4774" s="15">
        <f>C4716</f>
        <v>46024</v>
      </c>
      <c r="D4774" s="13"/>
      <c r="E4774" s="13"/>
      <c r="F4774" s="14"/>
    </row>
    <row r="4775" spans="2:6" ht="17" thickBot="1">
      <c r="B4775" s="8"/>
      <c r="C4775" s="8"/>
      <c r="D4775" s="8"/>
      <c r="E4775" s="8"/>
    </row>
    <row r="4776" spans="2:6" ht="15" thickTop="1" thickBot="1">
      <c r="B4776" s="16" t="s">
        <v>13</v>
      </c>
      <c r="C4776" s="17" t="s">
        <v>14</v>
      </c>
      <c r="D4776" s="17" t="s">
        <v>15</v>
      </c>
      <c r="E4776" s="17" t="s">
        <v>16</v>
      </c>
      <c r="F4776" s="18" t="s">
        <v>17</v>
      </c>
    </row>
    <row r="4777" spans="2:6" ht="14" thickTop="1">
      <c r="B4777" s="19"/>
      <c r="C4777" s="19"/>
      <c r="D4777" s="19"/>
      <c r="E4777" s="19"/>
      <c r="F4777" s="19"/>
    </row>
    <row r="4778" spans="2:6">
      <c r="B4778" s="20" t="str">
        <f>C4772</f>
        <v>Proyectores de área  LED 250 W.3000°K</v>
      </c>
      <c r="C4778" s="21" t="s">
        <v>179</v>
      </c>
      <c r="D4778" s="21">
        <v>1</v>
      </c>
      <c r="E4778" s="22">
        <v>105800</v>
      </c>
      <c r="F4778" s="22">
        <f t="shared" ref="F4778:F4783" si="80">E4778*D4778</f>
        <v>105800</v>
      </c>
    </row>
    <row r="4779" spans="2:6">
      <c r="B4779" s="20"/>
      <c r="C4779" s="21"/>
      <c r="D4779" s="21"/>
      <c r="E4779" s="22"/>
      <c r="F4779" s="22">
        <f t="shared" si="80"/>
        <v>0</v>
      </c>
    </row>
    <row r="4780" spans="2:6">
      <c r="B4780" s="20"/>
      <c r="C4780" s="21"/>
      <c r="D4780" s="21"/>
      <c r="E4780" s="22"/>
      <c r="F4780" s="22">
        <f t="shared" si="80"/>
        <v>0</v>
      </c>
    </row>
    <row r="4781" spans="2:6">
      <c r="B4781" s="20"/>
      <c r="C4781" s="21"/>
      <c r="D4781" s="21"/>
      <c r="E4781" s="22"/>
      <c r="F4781" s="22">
        <f t="shared" si="80"/>
        <v>0</v>
      </c>
    </row>
    <row r="4782" spans="2:6">
      <c r="B4782" s="20"/>
      <c r="C4782" s="21"/>
      <c r="D4782" s="21"/>
      <c r="E4782" s="22"/>
      <c r="F4782" s="22">
        <f t="shared" si="80"/>
        <v>0</v>
      </c>
    </row>
    <row r="4783" spans="2:6">
      <c r="B4783" s="20"/>
      <c r="C4783" s="21"/>
      <c r="D4783" s="21"/>
      <c r="E4783" s="22"/>
      <c r="F4783" s="22">
        <f t="shared" si="80"/>
        <v>0</v>
      </c>
    </row>
    <row r="4784" spans="2:6" ht="17" thickBot="1">
      <c r="B4784" s="6" t="s">
        <v>19</v>
      </c>
      <c r="C4784" s="8"/>
      <c r="D4784" s="8"/>
      <c r="E4784" s="8"/>
      <c r="F4784" s="23">
        <f>SUM(F4778:F4783)</f>
        <v>105800</v>
      </c>
    </row>
    <row r="4785" spans="2:6" ht="17" thickBot="1">
      <c r="B4785" s="8"/>
      <c r="C4785" s="8"/>
      <c r="D4785" s="8"/>
      <c r="E4785" s="8"/>
    </row>
    <row r="4786" spans="2:6" ht="15" thickTop="1" thickBot="1">
      <c r="B4786" s="16" t="s">
        <v>20</v>
      </c>
      <c r="C4786" s="17" t="s">
        <v>14</v>
      </c>
      <c r="D4786" s="17" t="s">
        <v>15</v>
      </c>
      <c r="E4786" s="17" t="s">
        <v>16</v>
      </c>
      <c r="F4786" s="18" t="s">
        <v>17</v>
      </c>
    </row>
    <row r="4787" spans="2:6" ht="17" thickTop="1">
      <c r="B4787" s="8"/>
      <c r="C4787" s="8"/>
      <c r="D4787" s="8"/>
      <c r="E4787" s="8"/>
    </row>
    <row r="4788" spans="2:6">
      <c r="B4788" s="24" t="s">
        <v>269</v>
      </c>
      <c r="C4788" s="20" t="s">
        <v>22</v>
      </c>
      <c r="D4788" s="20">
        <v>2</v>
      </c>
      <c r="E4788" s="22">
        <v>56000</v>
      </c>
      <c r="F4788" s="25">
        <f>E4788*D4788</f>
        <v>112000</v>
      </c>
    </row>
    <row r="4789" spans="2:6">
      <c r="B4789" s="20" t="s">
        <v>270</v>
      </c>
      <c r="C4789" s="20" t="s">
        <v>22</v>
      </c>
      <c r="D4789" s="20">
        <v>2</v>
      </c>
      <c r="E4789" s="22">
        <v>35000</v>
      </c>
      <c r="F4789" s="25">
        <f>E4789*D4789</f>
        <v>70000</v>
      </c>
    </row>
    <row r="4790" spans="2:6" ht="16">
      <c r="B4790" s="26"/>
      <c r="C4790" s="26"/>
      <c r="D4790" s="26"/>
      <c r="E4790" s="26"/>
      <c r="F4790" s="25">
        <f>E4790*D4790</f>
        <v>0</v>
      </c>
    </row>
    <row r="4791" spans="2:6" ht="16">
      <c r="B4791" s="26"/>
      <c r="C4791" s="26"/>
      <c r="D4791" s="26"/>
      <c r="E4791" s="26"/>
      <c r="F4791" s="25">
        <f>E4791*D4791</f>
        <v>0</v>
      </c>
    </row>
    <row r="4792" spans="2:6" ht="16">
      <c r="B4792" s="27" t="s">
        <v>25</v>
      </c>
      <c r="C4792" s="27" t="s">
        <v>26</v>
      </c>
      <c r="D4792" s="28">
        <v>0.32</v>
      </c>
      <c r="E4792" s="29">
        <f>SUM(E4788:E4791)*D4792</f>
        <v>29120</v>
      </c>
      <c r="F4792" s="25">
        <f>E4792*D4792</f>
        <v>9318.4</v>
      </c>
    </row>
    <row r="4793" spans="2:6" ht="16">
      <c r="B4793" s="8"/>
      <c r="C4793" s="8"/>
      <c r="D4793" s="8"/>
      <c r="E4793" s="8"/>
    </row>
    <row r="4794" spans="2:6" ht="17" thickBot="1">
      <c r="B4794" s="6" t="s">
        <v>27</v>
      </c>
      <c r="C4794" s="8"/>
      <c r="D4794" s="8"/>
      <c r="E4794" s="8"/>
      <c r="F4794" s="23">
        <f>SUM(F4788:F4793)</f>
        <v>191318.39999999999</v>
      </c>
    </row>
    <row r="4795" spans="2:6" ht="17" thickBot="1">
      <c r="B4795" s="8"/>
      <c r="C4795" s="8"/>
      <c r="D4795" s="8"/>
      <c r="E4795" s="8"/>
    </row>
    <row r="4796" spans="2:6" ht="15" thickTop="1" thickBot="1">
      <c r="B4796" s="16" t="s">
        <v>28</v>
      </c>
      <c r="C4796" s="17" t="s">
        <v>14</v>
      </c>
      <c r="D4796" s="17" t="s">
        <v>15</v>
      </c>
      <c r="E4796" s="17" t="s">
        <v>16</v>
      </c>
      <c r="F4796" s="18" t="s">
        <v>17</v>
      </c>
    </row>
    <row r="4797" spans="2:6" ht="17" thickTop="1">
      <c r="B4797" s="8"/>
      <c r="C4797" s="8"/>
      <c r="D4797" s="8"/>
      <c r="E4797" s="8"/>
    </row>
    <row r="4798" spans="2:6">
      <c r="B4798" s="20" t="s">
        <v>62</v>
      </c>
      <c r="C4798" s="20" t="s">
        <v>43</v>
      </c>
      <c r="D4798" s="68">
        <v>1</v>
      </c>
      <c r="E4798" s="22">
        <v>15000</v>
      </c>
      <c r="F4798" s="25">
        <f>E4798*D4798</f>
        <v>15000</v>
      </c>
    </row>
    <row r="4799" spans="2:6">
      <c r="B4799" s="20" t="s">
        <v>31</v>
      </c>
      <c r="C4799" s="20" t="s">
        <v>32</v>
      </c>
      <c r="D4799" s="68">
        <v>1</v>
      </c>
      <c r="E4799" s="22">
        <v>25000</v>
      </c>
      <c r="F4799" s="25">
        <f>E4799*D4799</f>
        <v>25000</v>
      </c>
    </row>
    <row r="4800" spans="2:6" ht="16">
      <c r="B4800" s="26"/>
      <c r="C4800" s="26"/>
      <c r="D4800" s="26"/>
      <c r="E4800" s="26"/>
      <c r="F4800" s="25">
        <f>E4800*D4800</f>
        <v>0</v>
      </c>
    </row>
    <row r="4801" spans="2:6" ht="16">
      <c r="B4801" s="26"/>
      <c r="C4801" s="26"/>
      <c r="D4801" s="26"/>
      <c r="E4801" s="26"/>
      <c r="F4801" s="25">
        <f>E4801*D4801</f>
        <v>0</v>
      </c>
    </row>
    <row r="4802" spans="2:6" ht="16">
      <c r="B4802" s="30"/>
      <c r="C4802" s="26"/>
      <c r="D4802" s="26"/>
      <c r="E4802" s="26"/>
      <c r="F4802" s="25">
        <f>E4802*D4802</f>
        <v>0</v>
      </c>
    </row>
    <row r="4803" spans="2:6" ht="16">
      <c r="B4803" s="8"/>
      <c r="C4803" s="8"/>
      <c r="D4803" s="8"/>
      <c r="E4803" s="8"/>
    </row>
    <row r="4804" spans="2:6" ht="14" thickBot="1">
      <c r="B4804" s="19" t="s">
        <v>33</v>
      </c>
      <c r="C4804" s="19"/>
      <c r="D4804" s="19"/>
      <c r="E4804" s="19"/>
      <c r="F4804" s="23">
        <f>SUM(F4798:F4803)</f>
        <v>40000</v>
      </c>
    </row>
    <row r="4805" spans="2:6" ht="16">
      <c r="B4805" s="8"/>
      <c r="C4805" s="8"/>
      <c r="D4805" s="8"/>
      <c r="E4805" s="8"/>
    </row>
    <row r="4806" spans="2:6" ht="17" thickBot="1">
      <c r="B4806" s="8"/>
      <c r="C4806" s="8"/>
      <c r="D4806" s="8"/>
      <c r="E4806" s="8"/>
    </row>
    <row r="4807" spans="2:6" ht="17" thickBot="1">
      <c r="B4807" s="31" t="s">
        <v>34</v>
      </c>
      <c r="C4807" s="13"/>
      <c r="D4807" s="13"/>
      <c r="E4807" s="13"/>
      <c r="F4807" s="32">
        <f>F4784+F4794+F4804</f>
        <v>337118.4</v>
      </c>
    </row>
    <row r="4808" spans="2:6" ht="17" thickBot="1">
      <c r="B4808" s="31" t="s">
        <v>35</v>
      </c>
      <c r="C4808" s="13"/>
      <c r="D4808" s="13"/>
      <c r="E4808" s="33">
        <v>0.1</v>
      </c>
      <c r="F4808" s="32">
        <f>F4807*E4808</f>
        <v>33711.840000000004</v>
      </c>
    </row>
    <row r="4809" spans="2:6" ht="17" thickBot="1">
      <c r="B4809" s="31" t="s">
        <v>36</v>
      </c>
      <c r="C4809" s="13"/>
      <c r="D4809" s="13"/>
      <c r="E4809" s="33">
        <v>0.1</v>
      </c>
      <c r="F4809" s="32">
        <f>F4807*E4809</f>
        <v>33711.840000000004</v>
      </c>
    </row>
    <row r="4810" spans="2:6" ht="17" thickBot="1">
      <c r="B4810" s="34" t="s">
        <v>37</v>
      </c>
      <c r="C4810" s="35"/>
      <c r="D4810" s="35"/>
      <c r="E4810" s="35"/>
      <c r="F4810" s="32">
        <f>SUM(F4807:F4809)</f>
        <v>404542.08000000007</v>
      </c>
    </row>
    <row r="4811" spans="2:6" ht="17" thickBot="1">
      <c r="B4811" s="36"/>
      <c r="C4811" s="8"/>
      <c r="D4811" s="8"/>
      <c r="E4811" s="8"/>
    </row>
    <row r="4812" spans="2:6" ht="18" thickTop="1" thickBot="1">
      <c r="B4812" s="37" t="s">
        <v>38</v>
      </c>
      <c r="C4812" s="8"/>
      <c r="D4812" s="8"/>
      <c r="E4812" s="8"/>
    </row>
    <row r="4813" spans="2:6" ht="18" thickTop="1" thickBot="1">
      <c r="B4813" s="8"/>
      <c r="C4813" s="8"/>
      <c r="D4813" s="8"/>
      <c r="E4813" s="8"/>
    </row>
    <row r="4814" spans="2:6" ht="17" thickTop="1">
      <c r="B4814" s="38"/>
      <c r="C4814" s="13"/>
      <c r="D4814" s="13"/>
      <c r="E4814" s="39"/>
      <c r="F4814" s="40"/>
    </row>
    <row r="4815" spans="2:6" ht="16">
      <c r="B4815" s="38"/>
      <c r="C4815" s="13"/>
      <c r="D4815" s="13"/>
      <c r="E4815" s="41"/>
      <c r="F4815" s="42"/>
    </row>
    <row r="4816" spans="2:6" ht="16">
      <c r="B4816" s="38"/>
      <c r="C4816" s="13"/>
      <c r="D4816" s="13"/>
      <c r="E4816" s="41"/>
      <c r="F4816" s="42"/>
    </row>
    <row r="4817" spans="2:6" ht="17" thickBot="1">
      <c r="B4817" s="54"/>
      <c r="C4817" s="35"/>
      <c r="D4817" s="35"/>
      <c r="E4817" s="44"/>
      <c r="F4817" s="45"/>
    </row>
    <row r="4818" spans="2:6" ht="14" thickTop="1"/>
    <row r="4819" spans="2:6" ht="14" thickBot="1">
      <c r="B4819" s="1" t="s">
        <v>0</v>
      </c>
      <c r="C4819" s="1"/>
    </row>
    <row r="4820" spans="2:6" ht="17" thickBot="1">
      <c r="B4820" s="1" t="s">
        <v>1</v>
      </c>
      <c r="C4820" s="1"/>
      <c r="E4820" s="4" t="s">
        <v>2</v>
      </c>
      <c r="F4820" s="5"/>
    </row>
    <row r="4822" spans="2:6">
      <c r="B4822" s="6"/>
    </row>
    <row r="4823" spans="2:6" ht="16">
      <c r="B4823" s="7" t="s">
        <v>3</v>
      </c>
      <c r="C4823" s="7"/>
      <c r="D4823" s="7"/>
      <c r="E4823" s="7"/>
      <c r="F4823" s="7"/>
    </row>
    <row r="4824" spans="2:6" ht="16">
      <c r="B4824" s="8"/>
      <c r="C4824" s="8"/>
      <c r="D4824" s="8"/>
      <c r="E4824" s="8"/>
    </row>
    <row r="4825" spans="2:6" ht="16">
      <c r="B4825" s="9" t="s">
        <v>4</v>
      </c>
      <c r="C4825" s="13" t="str">
        <f>C4767</f>
        <v>MEJORAMIENTO ESPACIO PUBLICO JJVV LUCILA GODOY ALCAYAGA</v>
      </c>
      <c r="D4825" s="13"/>
      <c r="E4825" s="13"/>
      <c r="F4825" s="14"/>
    </row>
    <row r="4826" spans="2:6" ht="16">
      <c r="B4826" s="12"/>
      <c r="C4826" s="8"/>
      <c r="D4826" s="8"/>
      <c r="E4826" s="8"/>
    </row>
    <row r="4827" spans="2:6" ht="16">
      <c r="B4827" s="9" t="s">
        <v>5</v>
      </c>
      <c r="C4827" s="13" t="s">
        <v>6</v>
      </c>
      <c r="D4827" s="13"/>
      <c r="E4827" s="13"/>
      <c r="F4827" s="14"/>
    </row>
    <row r="4828" spans="2:6" ht="16">
      <c r="B4828" s="9"/>
      <c r="C4828" s="13"/>
      <c r="D4828" s="13"/>
      <c r="E4828" s="13"/>
      <c r="F4828" s="14"/>
    </row>
    <row r="4829" spans="2:6" ht="16">
      <c r="B4829" s="9" t="s">
        <v>7</v>
      </c>
      <c r="C4829" s="13" t="str">
        <f>[1]LGA!A110</f>
        <v>7.1.8</v>
      </c>
      <c r="D4829" s="13"/>
      <c r="E4829" s="13"/>
      <c r="F4829" s="14"/>
    </row>
    <row r="4830" spans="2:6" ht="16">
      <c r="B4830" s="9" t="s">
        <v>8</v>
      </c>
      <c r="C4830" s="13" t="s">
        <v>308</v>
      </c>
      <c r="D4830" s="13"/>
      <c r="E4830" s="13"/>
      <c r="F4830" s="14"/>
    </row>
    <row r="4831" spans="2:6" ht="16">
      <c r="B4831" s="9" t="s">
        <v>10</v>
      </c>
      <c r="C4831" s="13" t="s">
        <v>301</v>
      </c>
      <c r="D4831" s="13"/>
      <c r="E4831" s="13"/>
      <c r="F4831" s="14"/>
    </row>
    <row r="4832" spans="2:6" ht="16">
      <c r="B4832" s="9" t="s">
        <v>12</v>
      </c>
      <c r="C4832" s="15">
        <f>C4774</f>
        <v>46024</v>
      </c>
      <c r="D4832" s="13"/>
      <c r="E4832" s="13"/>
      <c r="F4832" s="14"/>
    </row>
    <row r="4833" spans="2:6" ht="17" thickBot="1">
      <c r="B4833" s="8"/>
      <c r="C4833" s="8"/>
      <c r="D4833" s="8"/>
      <c r="E4833" s="8"/>
    </row>
    <row r="4834" spans="2:6" ht="15" thickTop="1" thickBot="1">
      <c r="B4834" s="16" t="s">
        <v>13</v>
      </c>
      <c r="C4834" s="17" t="s">
        <v>14</v>
      </c>
      <c r="D4834" s="17" t="s">
        <v>15</v>
      </c>
      <c r="E4834" s="17" t="s">
        <v>16</v>
      </c>
      <c r="F4834" s="18" t="s">
        <v>17</v>
      </c>
    </row>
    <row r="4835" spans="2:6" ht="14" thickTop="1">
      <c r="B4835" s="19"/>
      <c r="C4835" s="19"/>
      <c r="D4835" s="19"/>
      <c r="E4835" s="19"/>
      <c r="F4835" s="19"/>
    </row>
    <row r="4836" spans="2:6">
      <c r="B4836" s="20" t="str">
        <f>C4830</f>
        <v xml:space="preserve">Inscripción S.E.C.  </v>
      </c>
      <c r="C4836" s="21" t="s">
        <v>179</v>
      </c>
      <c r="D4836" s="21">
        <v>1</v>
      </c>
      <c r="E4836" s="22">
        <v>890000</v>
      </c>
      <c r="F4836" s="22">
        <f t="shared" ref="F4836:F4841" si="81">E4836*D4836</f>
        <v>890000</v>
      </c>
    </row>
    <row r="4837" spans="2:6">
      <c r="B4837" s="20" t="s">
        <v>309</v>
      </c>
      <c r="C4837" s="21" t="s">
        <v>179</v>
      </c>
      <c r="D4837" s="21">
        <v>1</v>
      </c>
      <c r="E4837" s="22">
        <v>650000</v>
      </c>
      <c r="F4837" s="22">
        <f t="shared" si="81"/>
        <v>650000</v>
      </c>
    </row>
    <row r="4838" spans="2:6">
      <c r="B4838" s="20" t="s">
        <v>310</v>
      </c>
      <c r="C4838" s="21" t="s">
        <v>179</v>
      </c>
      <c r="D4838" s="21">
        <v>1</v>
      </c>
      <c r="E4838" s="22">
        <v>980000</v>
      </c>
      <c r="F4838" s="22">
        <f t="shared" si="81"/>
        <v>980000</v>
      </c>
    </row>
    <row r="4839" spans="2:6">
      <c r="B4839" s="20"/>
      <c r="C4839" s="21"/>
      <c r="D4839" s="21"/>
      <c r="E4839" s="22"/>
      <c r="F4839" s="22">
        <f t="shared" si="81"/>
        <v>0</v>
      </c>
    </row>
    <row r="4840" spans="2:6">
      <c r="B4840" s="20"/>
      <c r="C4840" s="21"/>
      <c r="D4840" s="21"/>
      <c r="E4840" s="22"/>
      <c r="F4840" s="22">
        <f t="shared" si="81"/>
        <v>0</v>
      </c>
    </row>
    <row r="4841" spans="2:6">
      <c r="B4841" s="20"/>
      <c r="C4841" s="21"/>
      <c r="D4841" s="21"/>
      <c r="E4841" s="22"/>
      <c r="F4841" s="22">
        <f t="shared" si="81"/>
        <v>0</v>
      </c>
    </row>
    <row r="4842" spans="2:6" ht="17" thickBot="1">
      <c r="B4842" s="6" t="s">
        <v>19</v>
      </c>
      <c r="C4842" s="8"/>
      <c r="D4842" s="8"/>
      <c r="E4842" s="8"/>
      <c r="F4842" s="23">
        <f>SUM(F4836:F4841)</f>
        <v>2520000</v>
      </c>
    </row>
    <row r="4843" spans="2:6" ht="17" thickBot="1">
      <c r="B4843" s="8"/>
      <c r="C4843" s="8"/>
      <c r="D4843" s="8"/>
      <c r="E4843" s="8"/>
    </row>
    <row r="4844" spans="2:6" ht="15" thickTop="1" thickBot="1">
      <c r="B4844" s="16" t="s">
        <v>20</v>
      </c>
      <c r="C4844" s="17" t="s">
        <v>14</v>
      </c>
      <c r="D4844" s="17" t="s">
        <v>15</v>
      </c>
      <c r="E4844" s="17" t="s">
        <v>16</v>
      </c>
      <c r="F4844" s="18" t="s">
        <v>17</v>
      </c>
    </row>
    <row r="4845" spans="2:6" ht="17" thickTop="1">
      <c r="B4845" s="8"/>
      <c r="C4845" s="8"/>
      <c r="D4845" s="8"/>
      <c r="E4845" s="8"/>
    </row>
    <row r="4846" spans="2:6">
      <c r="B4846" s="24" t="s">
        <v>269</v>
      </c>
      <c r="C4846" s="20" t="s">
        <v>22</v>
      </c>
      <c r="D4846" s="20">
        <v>0</v>
      </c>
      <c r="E4846" s="22">
        <v>0</v>
      </c>
      <c r="F4846" s="25">
        <f>E4846*D4846</f>
        <v>0</v>
      </c>
    </row>
    <row r="4847" spans="2:6">
      <c r="B4847" s="20" t="s">
        <v>270</v>
      </c>
      <c r="C4847" s="20" t="s">
        <v>22</v>
      </c>
      <c r="D4847" s="20">
        <v>0</v>
      </c>
      <c r="E4847" s="22">
        <v>0</v>
      </c>
      <c r="F4847" s="25">
        <f>E4847*D4847</f>
        <v>0</v>
      </c>
    </row>
    <row r="4848" spans="2:6" ht="16">
      <c r="B4848" s="26"/>
      <c r="C4848" s="26"/>
      <c r="D4848" s="26"/>
      <c r="E4848" s="26"/>
      <c r="F4848" s="25">
        <f>E4848*D4848</f>
        <v>0</v>
      </c>
    </row>
    <row r="4849" spans="2:6" ht="16">
      <c r="B4849" s="26"/>
      <c r="C4849" s="26"/>
      <c r="D4849" s="26"/>
      <c r="E4849" s="26"/>
      <c r="F4849" s="25">
        <f>E4849*D4849</f>
        <v>0</v>
      </c>
    </row>
    <row r="4850" spans="2:6" ht="16">
      <c r="B4850" s="27" t="s">
        <v>25</v>
      </c>
      <c r="C4850" s="27" t="s">
        <v>26</v>
      </c>
      <c r="D4850" s="28">
        <v>0.32</v>
      </c>
      <c r="E4850" s="29">
        <v>0</v>
      </c>
      <c r="F4850" s="25">
        <f>E4850*D4850</f>
        <v>0</v>
      </c>
    </row>
    <row r="4851" spans="2:6" ht="16">
      <c r="B4851" s="8"/>
      <c r="C4851" s="8"/>
      <c r="D4851" s="8"/>
      <c r="E4851" s="8"/>
    </row>
    <row r="4852" spans="2:6" ht="17" thickBot="1">
      <c r="B4852" s="6" t="s">
        <v>27</v>
      </c>
      <c r="C4852" s="8"/>
      <c r="D4852" s="8"/>
      <c r="E4852" s="8"/>
      <c r="F4852" s="23">
        <f>SUM(F4846:F4851)</f>
        <v>0</v>
      </c>
    </row>
    <row r="4853" spans="2:6" ht="17" thickBot="1">
      <c r="B4853" s="8"/>
      <c r="C4853" s="8"/>
      <c r="D4853" s="8"/>
      <c r="E4853" s="8"/>
    </row>
    <row r="4854" spans="2:6" ht="15" thickTop="1" thickBot="1">
      <c r="B4854" s="16" t="s">
        <v>28</v>
      </c>
      <c r="C4854" s="17" t="s">
        <v>14</v>
      </c>
      <c r="D4854" s="17" t="s">
        <v>15</v>
      </c>
      <c r="E4854" s="17" t="s">
        <v>16</v>
      </c>
      <c r="F4854" s="18" t="s">
        <v>17</v>
      </c>
    </row>
    <row r="4855" spans="2:6" ht="17" thickTop="1">
      <c r="B4855" s="8"/>
      <c r="C4855" s="8"/>
      <c r="D4855" s="8"/>
      <c r="E4855" s="8"/>
    </row>
    <row r="4856" spans="2:6">
      <c r="B4856" s="20"/>
      <c r="C4856" s="20"/>
      <c r="D4856" s="68"/>
      <c r="E4856" s="22"/>
      <c r="F4856" s="25">
        <f>E4856*D4856</f>
        <v>0</v>
      </c>
    </row>
    <row r="4857" spans="2:6">
      <c r="B4857" s="20"/>
      <c r="C4857" s="20"/>
      <c r="D4857" s="68"/>
      <c r="E4857" s="22"/>
      <c r="F4857" s="25">
        <f>E4857*D4857</f>
        <v>0</v>
      </c>
    </row>
    <row r="4858" spans="2:6" ht="16">
      <c r="B4858" s="26"/>
      <c r="C4858" s="26"/>
      <c r="D4858" s="26"/>
      <c r="E4858" s="26"/>
      <c r="F4858" s="25">
        <f>E4858*D4858</f>
        <v>0</v>
      </c>
    </row>
    <row r="4859" spans="2:6" ht="16">
      <c r="B4859" s="26"/>
      <c r="C4859" s="26"/>
      <c r="D4859" s="26"/>
      <c r="E4859" s="26"/>
      <c r="F4859" s="25">
        <f>E4859*D4859</f>
        <v>0</v>
      </c>
    </row>
    <row r="4860" spans="2:6" ht="16">
      <c r="B4860" s="30"/>
      <c r="C4860" s="26"/>
      <c r="D4860" s="26"/>
      <c r="E4860" s="26"/>
      <c r="F4860" s="25">
        <f>E4860*D4860</f>
        <v>0</v>
      </c>
    </row>
    <row r="4861" spans="2:6" ht="16">
      <c r="B4861" s="8"/>
      <c r="C4861" s="8"/>
      <c r="D4861" s="8"/>
      <c r="E4861" s="8"/>
    </row>
    <row r="4862" spans="2:6" ht="14" thickBot="1">
      <c r="B4862" s="19" t="s">
        <v>33</v>
      </c>
      <c r="C4862" s="19"/>
      <c r="D4862" s="19"/>
      <c r="E4862" s="19"/>
      <c r="F4862" s="23">
        <f>SUM(F4856:F4861)</f>
        <v>0</v>
      </c>
    </row>
    <row r="4863" spans="2:6" ht="16">
      <c r="B4863" s="8"/>
      <c r="C4863" s="8"/>
      <c r="D4863" s="8"/>
      <c r="E4863" s="8"/>
    </row>
    <row r="4864" spans="2:6" ht="17" thickBot="1">
      <c r="B4864" s="8"/>
      <c r="C4864" s="8"/>
      <c r="D4864" s="8"/>
      <c r="E4864" s="8"/>
    </row>
    <row r="4865" spans="2:6" ht="17" thickBot="1">
      <c r="B4865" s="31" t="s">
        <v>34</v>
      </c>
      <c r="C4865" s="13"/>
      <c r="D4865" s="13"/>
      <c r="E4865" s="13"/>
      <c r="F4865" s="32">
        <f>F4842+F4852+F4862</f>
        <v>2520000</v>
      </c>
    </row>
    <row r="4866" spans="2:6" ht="17" thickBot="1">
      <c r="B4866" s="31" t="s">
        <v>35</v>
      </c>
      <c r="C4866" s="13"/>
      <c r="D4866" s="13"/>
      <c r="E4866" s="33">
        <v>0.1</v>
      </c>
      <c r="F4866" s="32">
        <f>F4865*E4866</f>
        <v>252000</v>
      </c>
    </row>
    <row r="4867" spans="2:6" ht="17" thickBot="1">
      <c r="B4867" s="31" t="s">
        <v>36</v>
      </c>
      <c r="C4867" s="13"/>
      <c r="D4867" s="13"/>
      <c r="E4867" s="33">
        <v>0.1</v>
      </c>
      <c r="F4867" s="32">
        <f>F4865*E4867</f>
        <v>252000</v>
      </c>
    </row>
    <row r="4868" spans="2:6" ht="17" thickBot="1">
      <c r="B4868" s="34" t="s">
        <v>37</v>
      </c>
      <c r="C4868" s="35"/>
      <c r="D4868" s="35"/>
      <c r="E4868" s="35"/>
      <c r="F4868" s="32">
        <f>SUM(F4865:F4867)</f>
        <v>3024000</v>
      </c>
    </row>
    <row r="4869" spans="2:6" ht="17" thickBot="1">
      <c r="B4869" s="36"/>
      <c r="C4869" s="8"/>
      <c r="D4869" s="8"/>
      <c r="E4869" s="8"/>
    </row>
    <row r="4870" spans="2:6" ht="18" thickTop="1" thickBot="1">
      <c r="B4870" s="37" t="s">
        <v>38</v>
      </c>
      <c r="C4870" s="8"/>
      <c r="D4870" s="8"/>
      <c r="E4870" s="8"/>
    </row>
    <row r="4871" spans="2:6" ht="18" thickTop="1" thickBot="1">
      <c r="B4871" s="8"/>
      <c r="C4871" s="8"/>
      <c r="D4871" s="8"/>
      <c r="E4871" s="8"/>
    </row>
    <row r="4872" spans="2:6" ht="17" thickTop="1">
      <c r="B4872" s="38"/>
      <c r="C4872" s="13"/>
      <c r="D4872" s="13"/>
      <c r="E4872" s="39"/>
      <c r="F4872" s="40"/>
    </row>
    <row r="4873" spans="2:6" ht="16">
      <c r="B4873" s="38"/>
      <c r="C4873" s="13"/>
      <c r="D4873" s="13"/>
      <c r="E4873" s="41"/>
      <c r="F4873" s="42"/>
    </row>
    <row r="4874" spans="2:6" ht="16">
      <c r="B4874" s="38"/>
      <c r="C4874" s="13"/>
      <c r="D4874" s="13"/>
      <c r="E4874" s="41"/>
      <c r="F4874" s="42"/>
    </row>
    <row r="4875" spans="2:6" ht="17" thickBot="1">
      <c r="B4875" s="54"/>
      <c r="C4875" s="35"/>
      <c r="D4875" s="35"/>
      <c r="E4875" s="44"/>
      <c r="F4875" s="45"/>
    </row>
    <row r="4876" spans="2:6" ht="14" thickTop="1"/>
    <row r="4877" spans="2:6" ht="14" thickBot="1">
      <c r="B4877" s="1" t="s">
        <v>0</v>
      </c>
      <c r="C4877" s="1"/>
    </row>
    <row r="4878" spans="2:6" ht="17" thickBot="1">
      <c r="B4878" s="1" t="s">
        <v>1</v>
      </c>
      <c r="C4878" s="1"/>
      <c r="E4878" s="4" t="s">
        <v>2</v>
      </c>
      <c r="F4878" s="5"/>
    </row>
    <row r="4880" spans="2:6">
      <c r="B4880" s="6"/>
    </row>
    <row r="4881" spans="2:6" ht="16">
      <c r="B4881" s="7" t="s">
        <v>3</v>
      </c>
      <c r="C4881" s="7"/>
      <c r="D4881" s="7"/>
      <c r="E4881" s="7"/>
      <c r="F4881" s="7"/>
    </row>
    <row r="4882" spans="2:6" ht="16">
      <c r="B4882" s="8"/>
      <c r="C4882" s="8"/>
      <c r="D4882" s="8"/>
      <c r="E4882" s="8"/>
    </row>
    <row r="4883" spans="2:6" ht="16">
      <c r="B4883" s="9" t="s">
        <v>4</v>
      </c>
      <c r="C4883" s="13" t="str">
        <f>C4825</f>
        <v>MEJORAMIENTO ESPACIO PUBLICO JJVV LUCILA GODOY ALCAYAGA</v>
      </c>
      <c r="D4883" s="13"/>
      <c r="E4883" s="13"/>
      <c r="F4883" s="14"/>
    </row>
    <row r="4884" spans="2:6" ht="16">
      <c r="B4884" s="12"/>
      <c r="C4884" s="8"/>
      <c r="D4884" s="8"/>
      <c r="E4884" s="8"/>
    </row>
    <row r="4885" spans="2:6" ht="16">
      <c r="B4885" s="9" t="s">
        <v>5</v>
      </c>
      <c r="C4885" s="13" t="s">
        <v>6</v>
      </c>
      <c r="D4885" s="13"/>
      <c r="E4885" s="13"/>
      <c r="F4885" s="14"/>
    </row>
    <row r="4886" spans="2:6" ht="16">
      <c r="B4886" s="9"/>
      <c r="C4886" s="13"/>
      <c r="D4886" s="13"/>
      <c r="E4886" s="13"/>
      <c r="F4886" s="14"/>
    </row>
    <row r="4887" spans="2:6" ht="16">
      <c r="B4887" s="9" t="s">
        <v>7</v>
      </c>
      <c r="C4887" s="13" t="str">
        <f>[1]LGA!A112</f>
        <v>7.2.1</v>
      </c>
      <c r="D4887" s="13"/>
      <c r="E4887" s="13"/>
      <c r="F4887" s="14"/>
    </row>
    <row r="4888" spans="2:6" ht="16">
      <c r="B4888" s="9" t="s">
        <v>8</v>
      </c>
      <c r="C4888" s="13" t="s">
        <v>311</v>
      </c>
      <c r="D4888" s="13"/>
      <c r="E4888" s="13"/>
      <c r="F4888" s="14"/>
    </row>
    <row r="4889" spans="2:6" ht="16">
      <c r="B4889" s="9" t="s">
        <v>10</v>
      </c>
      <c r="C4889" s="13" t="s">
        <v>295</v>
      </c>
      <c r="D4889" s="13"/>
      <c r="E4889" s="13"/>
      <c r="F4889" s="14"/>
    </row>
    <row r="4890" spans="2:6" ht="16">
      <c r="B4890" s="9" t="s">
        <v>12</v>
      </c>
      <c r="C4890" s="15">
        <f>C4832</f>
        <v>46024</v>
      </c>
      <c r="D4890" s="13"/>
      <c r="E4890" s="13"/>
      <c r="F4890" s="14"/>
    </row>
    <row r="4891" spans="2:6" ht="17" thickBot="1">
      <c r="B4891" s="8"/>
      <c r="C4891" s="8"/>
      <c r="D4891" s="8"/>
      <c r="E4891" s="8"/>
    </row>
    <row r="4892" spans="2:6" ht="15" thickTop="1" thickBot="1">
      <c r="B4892" s="16" t="s">
        <v>13</v>
      </c>
      <c r="C4892" s="17" t="s">
        <v>14</v>
      </c>
      <c r="D4892" s="17" t="s">
        <v>15</v>
      </c>
      <c r="E4892" s="17" t="s">
        <v>16</v>
      </c>
      <c r="F4892" s="18" t="s">
        <v>17</v>
      </c>
    </row>
    <row r="4893" spans="2:6" ht="14" thickTop="1">
      <c r="B4893" s="19"/>
      <c r="C4893" s="19"/>
      <c r="D4893" s="19"/>
      <c r="E4893" s="19"/>
      <c r="F4893" s="19"/>
    </row>
    <row r="4894" spans="2:6">
      <c r="B4894" s="20" t="s">
        <v>312</v>
      </c>
      <c r="C4894" s="21" t="s">
        <v>179</v>
      </c>
      <c r="D4894" s="21">
        <v>0.6</v>
      </c>
      <c r="E4894" s="22">
        <v>6900</v>
      </c>
      <c r="F4894" s="22">
        <f t="shared" ref="F4894:F4899" si="82">E4894*D4894</f>
        <v>4140</v>
      </c>
    </row>
    <row r="4895" spans="2:6">
      <c r="B4895" s="20" t="s">
        <v>313</v>
      </c>
      <c r="C4895" s="21" t="s">
        <v>179</v>
      </c>
      <c r="D4895" s="21">
        <v>0.6</v>
      </c>
      <c r="E4895" s="22">
        <v>64300</v>
      </c>
      <c r="F4895" s="22">
        <f t="shared" si="82"/>
        <v>38580</v>
      </c>
    </row>
    <row r="4896" spans="2:6">
      <c r="B4896" s="20" t="s">
        <v>314</v>
      </c>
      <c r="C4896" s="21" t="s">
        <v>179</v>
      </c>
      <c r="D4896" s="21">
        <v>0.6</v>
      </c>
      <c r="E4896" s="22">
        <v>43200</v>
      </c>
      <c r="F4896" s="22">
        <f t="shared" si="82"/>
        <v>25920</v>
      </c>
    </row>
    <row r="4897" spans="2:6">
      <c r="B4897" s="20" t="s">
        <v>315</v>
      </c>
      <c r="C4897" s="21" t="s">
        <v>179</v>
      </c>
      <c r="D4897" s="21">
        <v>0.6</v>
      </c>
      <c r="E4897" s="22">
        <v>25700</v>
      </c>
      <c r="F4897" s="22">
        <f t="shared" si="82"/>
        <v>15420</v>
      </c>
    </row>
    <row r="4898" spans="2:6">
      <c r="B4898" s="20"/>
      <c r="C4898" s="21"/>
      <c r="D4898" s="21"/>
      <c r="E4898" s="22"/>
      <c r="F4898" s="22">
        <f t="shared" si="82"/>
        <v>0</v>
      </c>
    </row>
    <row r="4899" spans="2:6">
      <c r="B4899" s="20"/>
      <c r="C4899" s="21"/>
      <c r="D4899" s="21"/>
      <c r="E4899" s="22"/>
      <c r="F4899" s="22">
        <f t="shared" si="82"/>
        <v>0</v>
      </c>
    </row>
    <row r="4900" spans="2:6" ht="17" thickBot="1">
      <c r="B4900" s="6" t="s">
        <v>19</v>
      </c>
      <c r="C4900" s="8"/>
      <c r="D4900" s="8"/>
      <c r="E4900" s="8"/>
      <c r="F4900" s="23">
        <f>SUM(F4894:F4899)</f>
        <v>84060</v>
      </c>
    </row>
    <row r="4901" spans="2:6" ht="17" thickBot="1">
      <c r="B4901" s="8"/>
      <c r="C4901" s="8"/>
      <c r="D4901" s="8"/>
      <c r="E4901" s="8"/>
    </row>
    <row r="4902" spans="2:6" ht="15" thickTop="1" thickBot="1">
      <c r="B4902" s="16" t="s">
        <v>20</v>
      </c>
      <c r="C4902" s="17" t="s">
        <v>14</v>
      </c>
      <c r="D4902" s="17" t="s">
        <v>15</v>
      </c>
      <c r="E4902" s="17" t="s">
        <v>16</v>
      </c>
      <c r="F4902" s="18" t="s">
        <v>17</v>
      </c>
    </row>
    <row r="4903" spans="2:6" ht="17" thickTop="1">
      <c r="B4903" s="8"/>
      <c r="C4903" s="8"/>
      <c r="D4903" s="8"/>
      <c r="E4903" s="8"/>
    </row>
    <row r="4904" spans="2:6">
      <c r="B4904" s="24" t="s">
        <v>316</v>
      </c>
      <c r="C4904" s="20" t="s">
        <v>22</v>
      </c>
      <c r="D4904" s="20">
        <v>0.08</v>
      </c>
      <c r="E4904" s="22">
        <v>27500</v>
      </c>
      <c r="F4904" s="25">
        <f>E4904*D4904</f>
        <v>2200</v>
      </c>
    </row>
    <row r="4905" spans="2:6">
      <c r="B4905" s="20" t="s">
        <v>317</v>
      </c>
      <c r="C4905" s="20" t="s">
        <v>22</v>
      </c>
      <c r="D4905" s="20">
        <v>0.08</v>
      </c>
      <c r="E4905" s="22">
        <v>15000</v>
      </c>
      <c r="F4905" s="25">
        <f>E4905*D4905</f>
        <v>1200</v>
      </c>
    </row>
    <row r="4906" spans="2:6" ht="16">
      <c r="B4906" s="26"/>
      <c r="C4906" s="26"/>
      <c r="D4906" s="26"/>
      <c r="E4906" s="26"/>
      <c r="F4906" s="25">
        <f>E4906*D4906</f>
        <v>0</v>
      </c>
    </row>
    <row r="4907" spans="2:6" ht="16">
      <c r="B4907" s="26"/>
      <c r="C4907" s="26"/>
      <c r="D4907" s="26"/>
      <c r="E4907" s="26"/>
      <c r="F4907" s="25">
        <f>E4907*D4907</f>
        <v>0</v>
      </c>
    </row>
    <row r="4908" spans="2:6" ht="16">
      <c r="B4908" s="27" t="s">
        <v>25</v>
      </c>
      <c r="C4908" s="27" t="s">
        <v>26</v>
      </c>
      <c r="D4908" s="28">
        <v>0.32</v>
      </c>
      <c r="E4908" s="29">
        <v>0</v>
      </c>
      <c r="F4908" s="25">
        <f>E4908*D4908</f>
        <v>0</v>
      </c>
    </row>
    <row r="4909" spans="2:6" ht="16">
      <c r="B4909" s="8"/>
      <c r="C4909" s="8"/>
      <c r="D4909" s="8"/>
      <c r="E4909" s="8"/>
    </row>
    <row r="4910" spans="2:6" ht="17" thickBot="1">
      <c r="B4910" s="6" t="s">
        <v>27</v>
      </c>
      <c r="C4910" s="8"/>
      <c r="D4910" s="8"/>
      <c r="E4910" s="8"/>
      <c r="F4910" s="23">
        <f>SUM(F4904:F4909)</f>
        <v>3400</v>
      </c>
    </row>
    <row r="4911" spans="2:6" ht="17" thickBot="1">
      <c r="B4911" s="8"/>
      <c r="C4911" s="8"/>
      <c r="D4911" s="8"/>
      <c r="E4911" s="8"/>
    </row>
    <row r="4912" spans="2:6" ht="15" thickTop="1" thickBot="1">
      <c r="B4912" s="16" t="s">
        <v>28</v>
      </c>
      <c r="C4912" s="17" t="s">
        <v>14</v>
      </c>
      <c r="D4912" s="17" t="s">
        <v>15</v>
      </c>
      <c r="E4912" s="17" t="s">
        <v>16</v>
      </c>
      <c r="F4912" s="18" t="s">
        <v>17</v>
      </c>
    </row>
    <row r="4913" spans="2:6" ht="17" thickTop="1">
      <c r="B4913" s="8"/>
      <c r="C4913" s="8"/>
      <c r="D4913" s="8"/>
      <c r="E4913" s="8"/>
    </row>
    <row r="4914" spans="2:6">
      <c r="B4914" s="20" t="s">
        <v>31</v>
      </c>
      <c r="C4914" s="20" t="s">
        <v>32</v>
      </c>
      <c r="D4914" s="68">
        <v>0.06</v>
      </c>
      <c r="E4914" s="22">
        <v>25000</v>
      </c>
      <c r="F4914" s="25">
        <f>E4914*D4914</f>
        <v>1500</v>
      </c>
    </row>
    <row r="4915" spans="2:6">
      <c r="B4915" s="20"/>
      <c r="C4915" s="20"/>
      <c r="D4915" s="68"/>
      <c r="E4915" s="22"/>
      <c r="F4915" s="25">
        <f>E4915*D4915</f>
        <v>0</v>
      </c>
    </row>
    <row r="4916" spans="2:6" ht="16">
      <c r="B4916" s="26"/>
      <c r="C4916" s="26"/>
      <c r="D4916" s="26"/>
      <c r="E4916" s="26"/>
      <c r="F4916" s="25">
        <f>E4916*D4916</f>
        <v>0</v>
      </c>
    </row>
    <row r="4917" spans="2:6" ht="16">
      <c r="B4917" s="26"/>
      <c r="C4917" s="26"/>
      <c r="D4917" s="26"/>
      <c r="E4917" s="26"/>
      <c r="F4917" s="25">
        <f>E4917*D4917</f>
        <v>0</v>
      </c>
    </row>
    <row r="4918" spans="2:6" ht="16">
      <c r="B4918" s="30"/>
      <c r="C4918" s="26"/>
      <c r="D4918" s="26"/>
      <c r="E4918" s="26"/>
      <c r="F4918" s="25">
        <f>E4918*D4918</f>
        <v>0</v>
      </c>
    </row>
    <row r="4919" spans="2:6" ht="16">
      <c r="B4919" s="8"/>
      <c r="C4919" s="8"/>
      <c r="D4919" s="8"/>
      <c r="E4919" s="8"/>
    </row>
    <row r="4920" spans="2:6" ht="14" thickBot="1">
      <c r="B4920" s="19" t="s">
        <v>33</v>
      </c>
      <c r="C4920" s="19"/>
      <c r="D4920" s="19"/>
      <c r="E4920" s="19"/>
      <c r="F4920" s="23">
        <f>SUM(F4914:F4919)</f>
        <v>1500</v>
      </c>
    </row>
    <row r="4921" spans="2:6" ht="16">
      <c r="B4921" s="8"/>
      <c r="C4921" s="8"/>
      <c r="D4921" s="8"/>
      <c r="E4921" s="8"/>
    </row>
    <row r="4922" spans="2:6" ht="17" thickBot="1">
      <c r="B4922" s="8"/>
      <c r="C4922" s="8"/>
      <c r="D4922" s="8"/>
      <c r="E4922" s="8"/>
    </row>
    <row r="4923" spans="2:6" ht="17" thickBot="1">
      <c r="B4923" s="31" t="s">
        <v>34</v>
      </c>
      <c r="C4923" s="13"/>
      <c r="D4923" s="13"/>
      <c r="E4923" s="13"/>
      <c r="F4923" s="32">
        <f>F4900+F4910+F4920</f>
        <v>88960</v>
      </c>
    </row>
    <row r="4924" spans="2:6" ht="17" thickBot="1">
      <c r="B4924" s="31" t="s">
        <v>35</v>
      </c>
      <c r="C4924" s="13"/>
      <c r="D4924" s="13"/>
      <c r="E4924" s="33">
        <v>0.1</v>
      </c>
      <c r="F4924" s="32">
        <f>F4923*E4924</f>
        <v>8896</v>
      </c>
    </row>
    <row r="4925" spans="2:6" ht="17" thickBot="1">
      <c r="B4925" s="31" t="s">
        <v>36</v>
      </c>
      <c r="C4925" s="13"/>
      <c r="D4925" s="13"/>
      <c r="E4925" s="33">
        <v>0.1</v>
      </c>
      <c r="F4925" s="32">
        <f>F4923*E4925</f>
        <v>8896</v>
      </c>
    </row>
    <row r="4926" spans="2:6" ht="17" thickBot="1">
      <c r="B4926" s="34" t="s">
        <v>37</v>
      </c>
      <c r="C4926" s="35"/>
      <c r="D4926" s="35"/>
      <c r="E4926" s="35"/>
      <c r="F4926" s="32">
        <f>SUM(F4923:F4925)</f>
        <v>106752</v>
      </c>
    </row>
    <row r="4927" spans="2:6" ht="17" thickBot="1">
      <c r="B4927" s="36"/>
      <c r="C4927" s="8"/>
      <c r="D4927" s="8"/>
      <c r="E4927" s="8"/>
    </row>
    <row r="4928" spans="2:6" ht="18" thickTop="1" thickBot="1">
      <c r="B4928" s="37" t="s">
        <v>38</v>
      </c>
      <c r="C4928" s="8"/>
      <c r="D4928" s="8"/>
      <c r="E4928" s="8"/>
    </row>
    <row r="4929" spans="2:6" ht="18" thickTop="1" thickBot="1">
      <c r="B4929" s="8"/>
      <c r="C4929" s="8"/>
      <c r="D4929" s="8"/>
      <c r="E4929" s="8"/>
    </row>
    <row r="4930" spans="2:6" ht="17" thickTop="1">
      <c r="B4930" s="38"/>
      <c r="C4930" s="13"/>
      <c r="D4930" s="13"/>
      <c r="E4930" s="39"/>
      <c r="F4930" s="40"/>
    </row>
    <row r="4931" spans="2:6" ht="16">
      <c r="B4931" s="38"/>
      <c r="C4931" s="13"/>
      <c r="D4931" s="13"/>
      <c r="E4931" s="41"/>
      <c r="F4931" s="42"/>
    </row>
    <row r="4932" spans="2:6" ht="16">
      <c r="B4932" s="38"/>
      <c r="C4932" s="13"/>
      <c r="D4932" s="13"/>
      <c r="E4932" s="41"/>
      <c r="F4932" s="42"/>
    </row>
    <row r="4933" spans="2:6" ht="17" thickBot="1">
      <c r="B4933" s="54"/>
      <c r="C4933" s="35"/>
      <c r="D4933" s="35"/>
      <c r="E4933" s="44"/>
      <c r="F4933" s="45"/>
    </row>
    <row r="4934" spans="2:6" ht="14" thickTop="1"/>
    <row r="4935" spans="2:6" ht="14" thickBot="1">
      <c r="B4935" s="1" t="s">
        <v>0</v>
      </c>
      <c r="C4935" s="1"/>
    </row>
    <row r="4936" spans="2:6" ht="17" thickBot="1">
      <c r="B4936" s="1" t="s">
        <v>1</v>
      </c>
      <c r="C4936" s="1"/>
      <c r="E4936" s="4" t="s">
        <v>2</v>
      </c>
      <c r="F4936" s="5"/>
    </row>
    <row r="4938" spans="2:6">
      <c r="B4938" s="6"/>
    </row>
    <row r="4939" spans="2:6" ht="16">
      <c r="B4939" s="7" t="s">
        <v>3</v>
      </c>
      <c r="C4939" s="7"/>
      <c r="D4939" s="7"/>
      <c r="E4939" s="7"/>
      <c r="F4939" s="7"/>
    </row>
    <row r="4940" spans="2:6" ht="16">
      <c r="B4940" s="8"/>
      <c r="C4940" s="8"/>
      <c r="D4940" s="8"/>
      <c r="E4940" s="8"/>
    </row>
    <row r="4941" spans="2:6" ht="16">
      <c r="B4941" s="9" t="s">
        <v>4</v>
      </c>
      <c r="C4941" s="13" t="str">
        <f>C4883</f>
        <v>MEJORAMIENTO ESPACIO PUBLICO JJVV LUCILA GODOY ALCAYAGA</v>
      </c>
      <c r="D4941" s="13"/>
      <c r="E4941" s="13"/>
      <c r="F4941" s="14"/>
    </row>
    <row r="4942" spans="2:6" ht="16">
      <c r="B4942" s="12"/>
      <c r="C4942" s="8"/>
      <c r="D4942" s="8"/>
      <c r="E4942" s="8"/>
    </row>
    <row r="4943" spans="2:6" ht="16">
      <c r="B4943" s="9" t="s">
        <v>5</v>
      </c>
      <c r="C4943" s="13" t="s">
        <v>6</v>
      </c>
      <c r="D4943" s="13"/>
      <c r="E4943" s="13"/>
      <c r="F4943" s="14"/>
    </row>
    <row r="4944" spans="2:6" ht="16">
      <c r="B4944" s="9"/>
      <c r="C4944" s="13"/>
      <c r="D4944" s="13"/>
      <c r="E4944" s="13"/>
      <c r="F4944" s="14"/>
    </row>
    <row r="4945" spans="2:6" ht="16">
      <c r="B4945" s="9" t="s">
        <v>7</v>
      </c>
      <c r="C4945" s="13" t="str">
        <f>[1]LGA!A114</f>
        <v>8.1</v>
      </c>
      <c r="D4945" s="13"/>
      <c r="E4945" s="13"/>
      <c r="F4945" s="14"/>
    </row>
    <row r="4946" spans="2:6" ht="16">
      <c r="B4946" s="9" t="s">
        <v>8</v>
      </c>
      <c r="C4946" s="13" t="s">
        <v>318</v>
      </c>
      <c r="D4946" s="13"/>
      <c r="E4946" s="13"/>
      <c r="F4946" s="14"/>
    </row>
    <row r="4947" spans="2:6" ht="16">
      <c r="B4947" s="9" t="s">
        <v>10</v>
      </c>
      <c r="C4947" s="13" t="s">
        <v>319</v>
      </c>
      <c r="D4947" s="13"/>
      <c r="E4947" s="13"/>
      <c r="F4947" s="14"/>
    </row>
    <row r="4948" spans="2:6" ht="16">
      <c r="B4948" s="9" t="s">
        <v>12</v>
      </c>
      <c r="C4948" s="15">
        <f>C4890</f>
        <v>46024</v>
      </c>
      <c r="D4948" s="13"/>
      <c r="E4948" s="13"/>
      <c r="F4948" s="14"/>
    </row>
    <row r="4949" spans="2:6" ht="17" thickBot="1">
      <c r="B4949" s="8"/>
      <c r="C4949" s="8"/>
      <c r="D4949" s="8"/>
      <c r="E4949" s="8"/>
    </row>
    <row r="4950" spans="2:6" ht="15" thickTop="1" thickBot="1">
      <c r="B4950" s="16" t="s">
        <v>13</v>
      </c>
      <c r="C4950" s="17" t="s">
        <v>14</v>
      </c>
      <c r="D4950" s="17" t="s">
        <v>15</v>
      </c>
      <c r="E4950" s="17" t="s">
        <v>16</v>
      </c>
      <c r="F4950" s="18" t="s">
        <v>17</v>
      </c>
    </row>
    <row r="4951" spans="2:6" ht="14" thickTop="1">
      <c r="B4951" s="19"/>
      <c r="C4951" s="19"/>
      <c r="D4951" s="19"/>
      <c r="E4951" s="19"/>
      <c r="F4951" s="19"/>
    </row>
    <row r="4952" spans="2:6">
      <c r="B4952" s="20" t="s">
        <v>320</v>
      </c>
      <c r="C4952" s="21" t="s">
        <v>179</v>
      </c>
      <c r="D4952" s="21">
        <v>1</v>
      </c>
      <c r="E4952" s="22">
        <v>65000</v>
      </c>
      <c r="F4952" s="22">
        <f t="shared" ref="F4952:F4957" si="83">E4952*D4952</f>
        <v>65000</v>
      </c>
    </row>
    <row r="4953" spans="2:6">
      <c r="B4953" s="20"/>
      <c r="C4953" s="21"/>
      <c r="D4953" s="21"/>
      <c r="E4953" s="22"/>
      <c r="F4953" s="22">
        <f t="shared" si="83"/>
        <v>0</v>
      </c>
    </row>
    <row r="4954" spans="2:6">
      <c r="B4954" s="20"/>
      <c r="C4954" s="21"/>
      <c r="D4954" s="21"/>
      <c r="E4954" s="22"/>
      <c r="F4954" s="22">
        <f t="shared" si="83"/>
        <v>0</v>
      </c>
    </row>
    <row r="4955" spans="2:6">
      <c r="B4955" s="20"/>
      <c r="C4955" s="21"/>
      <c r="D4955" s="21"/>
      <c r="E4955" s="22"/>
      <c r="F4955" s="22">
        <f t="shared" si="83"/>
        <v>0</v>
      </c>
    </row>
    <row r="4956" spans="2:6">
      <c r="B4956" s="20"/>
      <c r="C4956" s="21"/>
      <c r="D4956" s="21"/>
      <c r="E4956" s="22"/>
      <c r="F4956" s="22">
        <f t="shared" si="83"/>
        <v>0</v>
      </c>
    </row>
    <row r="4957" spans="2:6">
      <c r="B4957" s="20"/>
      <c r="C4957" s="21"/>
      <c r="D4957" s="21"/>
      <c r="E4957" s="22"/>
      <c r="F4957" s="22">
        <f t="shared" si="83"/>
        <v>0</v>
      </c>
    </row>
    <row r="4958" spans="2:6" ht="17" thickBot="1">
      <c r="B4958" s="6" t="s">
        <v>19</v>
      </c>
      <c r="C4958" s="8"/>
      <c r="D4958" s="8"/>
      <c r="E4958" s="8"/>
      <c r="F4958" s="23">
        <f>SUM(F4952:F4957)</f>
        <v>65000</v>
      </c>
    </row>
    <row r="4959" spans="2:6" ht="17" thickBot="1">
      <c r="B4959" s="8"/>
      <c r="C4959" s="8"/>
      <c r="D4959" s="8"/>
      <c r="E4959" s="8"/>
    </row>
    <row r="4960" spans="2:6" ht="15" thickTop="1" thickBot="1">
      <c r="B4960" s="16" t="s">
        <v>20</v>
      </c>
      <c r="C4960" s="17" t="s">
        <v>14</v>
      </c>
      <c r="D4960" s="17" t="s">
        <v>15</v>
      </c>
      <c r="E4960" s="17" t="s">
        <v>16</v>
      </c>
      <c r="F4960" s="18" t="s">
        <v>17</v>
      </c>
    </row>
    <row r="4961" spans="2:6" ht="17" thickTop="1">
      <c r="B4961" s="8"/>
      <c r="C4961" s="8"/>
      <c r="D4961" s="8"/>
      <c r="E4961" s="8"/>
    </row>
    <row r="4962" spans="2:6">
      <c r="B4962" s="24" t="s">
        <v>316</v>
      </c>
      <c r="C4962" s="20" t="s">
        <v>22</v>
      </c>
      <c r="D4962" s="20">
        <v>4</v>
      </c>
      <c r="E4962" s="22">
        <v>27500</v>
      </c>
      <c r="F4962" s="25">
        <f>E4962*D4962</f>
        <v>110000</v>
      </c>
    </row>
    <row r="4963" spans="2:6">
      <c r="B4963" s="20" t="s">
        <v>317</v>
      </c>
      <c r="C4963" s="20" t="s">
        <v>22</v>
      </c>
      <c r="D4963" s="20">
        <v>4</v>
      </c>
      <c r="E4963" s="22">
        <v>15000</v>
      </c>
      <c r="F4963" s="25">
        <f>E4963*D4963</f>
        <v>60000</v>
      </c>
    </row>
    <row r="4964" spans="2:6" ht="16">
      <c r="B4964" s="26"/>
      <c r="C4964" s="26"/>
      <c r="D4964" s="26"/>
      <c r="E4964" s="26"/>
      <c r="F4964" s="25">
        <f>E4964*D4964</f>
        <v>0</v>
      </c>
    </row>
    <row r="4965" spans="2:6" ht="16">
      <c r="B4965" s="26"/>
      <c r="C4965" s="26"/>
      <c r="D4965" s="26"/>
      <c r="E4965" s="26"/>
      <c r="F4965" s="25">
        <f>E4965*D4965</f>
        <v>0</v>
      </c>
    </row>
    <row r="4966" spans="2:6" ht="16">
      <c r="B4966" s="27" t="s">
        <v>25</v>
      </c>
      <c r="C4966" s="27" t="s">
        <v>26</v>
      </c>
      <c r="D4966" s="28">
        <v>0.32</v>
      </c>
      <c r="E4966" s="29">
        <v>0</v>
      </c>
      <c r="F4966" s="25">
        <f>E4966*D4966</f>
        <v>0</v>
      </c>
    </row>
    <row r="4967" spans="2:6" ht="16">
      <c r="B4967" s="8"/>
      <c r="C4967" s="8"/>
      <c r="D4967" s="8"/>
      <c r="E4967" s="8"/>
    </row>
    <row r="4968" spans="2:6" ht="17" thickBot="1">
      <c r="B4968" s="6" t="s">
        <v>27</v>
      </c>
      <c r="C4968" s="8"/>
      <c r="D4968" s="8"/>
      <c r="E4968" s="8"/>
      <c r="F4968" s="23">
        <f>SUM(F4962:F4967)</f>
        <v>170000</v>
      </c>
    </row>
    <row r="4969" spans="2:6" ht="17" thickBot="1">
      <c r="B4969" s="8"/>
      <c r="C4969" s="8"/>
      <c r="D4969" s="8"/>
      <c r="E4969" s="8"/>
    </row>
    <row r="4970" spans="2:6" ht="15" thickTop="1" thickBot="1">
      <c r="B4970" s="16" t="s">
        <v>28</v>
      </c>
      <c r="C4970" s="17" t="s">
        <v>14</v>
      </c>
      <c r="D4970" s="17" t="s">
        <v>15</v>
      </c>
      <c r="E4970" s="17" t="s">
        <v>16</v>
      </c>
      <c r="F4970" s="18" t="s">
        <v>17</v>
      </c>
    </row>
    <row r="4971" spans="2:6" ht="17" thickTop="1">
      <c r="B4971" s="8"/>
      <c r="C4971" s="8"/>
      <c r="D4971" s="8"/>
      <c r="E4971" s="8"/>
    </row>
    <row r="4972" spans="2:6">
      <c r="B4972" s="20" t="s">
        <v>31</v>
      </c>
      <c r="C4972" s="20" t="s">
        <v>32</v>
      </c>
      <c r="D4972" s="68">
        <v>1</v>
      </c>
      <c r="E4972" s="22">
        <v>25000</v>
      </c>
      <c r="F4972" s="25">
        <f>E4972*D4972</f>
        <v>25000</v>
      </c>
    </row>
    <row r="4973" spans="2:6">
      <c r="B4973" s="20"/>
      <c r="C4973" s="20"/>
      <c r="D4973" s="68"/>
      <c r="E4973" s="22"/>
      <c r="F4973" s="25">
        <f>E4973*D4973</f>
        <v>0</v>
      </c>
    </row>
    <row r="4974" spans="2:6" ht="16">
      <c r="B4974" s="26"/>
      <c r="C4974" s="26"/>
      <c r="D4974" s="26"/>
      <c r="E4974" s="26"/>
      <c r="F4974" s="25">
        <f>E4974*D4974</f>
        <v>0</v>
      </c>
    </row>
    <row r="4975" spans="2:6" ht="16">
      <c r="B4975" s="26"/>
      <c r="C4975" s="26"/>
      <c r="D4975" s="26"/>
      <c r="E4975" s="26"/>
      <c r="F4975" s="25">
        <f>E4975*D4975</f>
        <v>0</v>
      </c>
    </row>
    <row r="4976" spans="2:6" ht="16">
      <c r="B4976" s="30"/>
      <c r="C4976" s="26"/>
      <c r="D4976" s="26"/>
      <c r="E4976" s="26"/>
      <c r="F4976" s="25">
        <f>E4976*D4976</f>
        <v>0</v>
      </c>
    </row>
    <row r="4977" spans="2:6" ht="16">
      <c r="B4977" s="8"/>
      <c r="C4977" s="8"/>
      <c r="D4977" s="8"/>
      <c r="E4977" s="8"/>
    </row>
    <row r="4978" spans="2:6" ht="14" thickBot="1">
      <c r="B4978" s="19" t="s">
        <v>33</v>
      </c>
      <c r="C4978" s="19"/>
      <c r="D4978" s="19"/>
      <c r="E4978" s="19"/>
      <c r="F4978" s="23">
        <f>SUM(F4972:F4977)</f>
        <v>25000</v>
      </c>
    </row>
    <row r="4979" spans="2:6" ht="16">
      <c r="B4979" s="8"/>
      <c r="C4979" s="8"/>
      <c r="D4979" s="8"/>
      <c r="E4979" s="8"/>
    </row>
    <row r="4980" spans="2:6" ht="17" thickBot="1">
      <c r="B4980" s="8"/>
      <c r="C4980" s="8"/>
      <c r="D4980" s="8"/>
      <c r="E4980" s="8"/>
    </row>
    <row r="4981" spans="2:6" ht="17" thickBot="1">
      <c r="B4981" s="31" t="s">
        <v>34</v>
      </c>
      <c r="C4981" s="13"/>
      <c r="D4981" s="13"/>
      <c r="E4981" s="13"/>
      <c r="F4981" s="32">
        <f>F4958+F4968+F4978</f>
        <v>260000</v>
      </c>
    </row>
    <row r="4982" spans="2:6" ht="17" thickBot="1">
      <c r="B4982" s="31" t="s">
        <v>35</v>
      </c>
      <c r="C4982" s="13"/>
      <c r="D4982" s="13"/>
      <c r="E4982" s="33">
        <v>0.1</v>
      </c>
      <c r="F4982" s="32">
        <f>F4981*E4982</f>
        <v>26000</v>
      </c>
    </row>
    <row r="4983" spans="2:6" ht="17" thickBot="1">
      <c r="B4983" s="31" t="s">
        <v>36</v>
      </c>
      <c r="C4983" s="13"/>
      <c r="D4983" s="13"/>
      <c r="E4983" s="33">
        <v>0.1</v>
      </c>
      <c r="F4983" s="32">
        <f>F4981*E4983</f>
        <v>26000</v>
      </c>
    </row>
    <row r="4984" spans="2:6" ht="17" thickBot="1">
      <c r="B4984" s="34" t="s">
        <v>37</v>
      </c>
      <c r="C4984" s="35"/>
      <c r="D4984" s="35"/>
      <c r="E4984" s="35"/>
      <c r="F4984" s="32">
        <f>SUM(F4981:F4983)</f>
        <v>312000</v>
      </c>
    </row>
    <row r="4985" spans="2:6" ht="17" thickBot="1">
      <c r="B4985" s="36"/>
      <c r="C4985" s="8"/>
      <c r="D4985" s="8"/>
      <c r="E4985" s="8"/>
    </row>
    <row r="4986" spans="2:6" ht="18" thickTop="1" thickBot="1">
      <c r="B4986" s="37" t="s">
        <v>38</v>
      </c>
      <c r="C4986" s="8"/>
      <c r="D4986" s="8"/>
      <c r="E4986" s="8"/>
    </row>
    <row r="4987" spans="2:6" ht="18" thickTop="1" thickBot="1">
      <c r="B4987" s="8"/>
      <c r="C4987" s="8"/>
      <c r="D4987" s="8"/>
      <c r="E4987" s="8"/>
    </row>
    <row r="4988" spans="2:6" ht="17" thickTop="1">
      <c r="B4988" s="38"/>
      <c r="C4988" s="13"/>
      <c r="D4988" s="13"/>
      <c r="E4988" s="39"/>
      <c r="F4988" s="40"/>
    </row>
    <row r="4989" spans="2:6" ht="16">
      <c r="B4989" s="38"/>
      <c r="C4989" s="13"/>
      <c r="D4989" s="13"/>
      <c r="E4989" s="41"/>
      <c r="F4989" s="42"/>
    </row>
    <row r="4990" spans="2:6" ht="16">
      <c r="B4990" s="38"/>
      <c r="C4990" s="13"/>
      <c r="D4990" s="13"/>
      <c r="E4990" s="41"/>
      <c r="F4990" s="42"/>
    </row>
    <row r="4991" spans="2:6" ht="17" thickBot="1">
      <c r="B4991" s="54"/>
      <c r="C4991" s="35"/>
      <c r="D4991" s="35"/>
      <c r="E4991" s="44"/>
      <c r="F4991" s="45"/>
    </row>
    <row r="4992" spans="2:6" ht="14" thickTop="1"/>
    <row r="4993" spans="2:6" ht="14" thickBot="1">
      <c r="B4993" s="1" t="s">
        <v>0</v>
      </c>
      <c r="C4993" s="1"/>
    </row>
    <row r="4994" spans="2:6" ht="17" thickBot="1">
      <c r="B4994" s="1" t="s">
        <v>1</v>
      </c>
      <c r="C4994" s="1"/>
      <c r="E4994" s="4" t="s">
        <v>2</v>
      </c>
      <c r="F4994" s="5"/>
    </row>
    <row r="4996" spans="2:6">
      <c r="B4996" s="6"/>
    </row>
    <row r="4997" spans="2:6" ht="16">
      <c r="B4997" s="7" t="s">
        <v>3</v>
      </c>
      <c r="C4997" s="7"/>
      <c r="D4997" s="7"/>
      <c r="E4997" s="7"/>
      <c r="F4997" s="7"/>
    </row>
    <row r="4998" spans="2:6" ht="16">
      <c r="B4998" s="8"/>
      <c r="C4998" s="8"/>
      <c r="D4998" s="8"/>
      <c r="E4998" s="8"/>
    </row>
    <row r="4999" spans="2:6" ht="16">
      <c r="B4999" s="9" t="s">
        <v>4</v>
      </c>
      <c r="C4999" s="13" t="str">
        <f>C4941</f>
        <v>MEJORAMIENTO ESPACIO PUBLICO JJVV LUCILA GODOY ALCAYAGA</v>
      </c>
      <c r="D4999" s="13"/>
      <c r="E4999" s="13"/>
      <c r="F4999" s="14"/>
    </row>
    <row r="5000" spans="2:6" ht="16">
      <c r="B5000" s="12"/>
      <c r="C5000" s="8"/>
      <c r="D5000" s="8"/>
      <c r="E5000" s="8"/>
    </row>
    <row r="5001" spans="2:6" ht="16">
      <c r="B5001" s="9" t="s">
        <v>5</v>
      </c>
      <c r="C5001" s="13" t="s">
        <v>6</v>
      </c>
      <c r="D5001" s="13"/>
      <c r="E5001" s="13"/>
      <c r="F5001" s="14"/>
    </row>
    <row r="5002" spans="2:6" ht="16">
      <c r="B5002" s="9"/>
      <c r="C5002" s="13"/>
      <c r="D5002" s="13"/>
      <c r="E5002" s="13"/>
      <c r="F5002" s="14"/>
    </row>
    <row r="5003" spans="2:6" ht="16">
      <c r="B5003" s="9" t="s">
        <v>7</v>
      </c>
      <c r="C5003" s="13" t="str">
        <f>[1]LGA!A115</f>
        <v>8.2</v>
      </c>
      <c r="D5003" s="13"/>
      <c r="E5003" s="13"/>
      <c r="F5003" s="14"/>
    </row>
    <row r="5004" spans="2:6" ht="16">
      <c r="B5004" s="9" t="s">
        <v>8</v>
      </c>
      <c r="C5004" s="13" t="s">
        <v>321</v>
      </c>
      <c r="D5004" s="13"/>
      <c r="E5004" s="13"/>
      <c r="F5004" s="14"/>
    </row>
    <row r="5005" spans="2:6" ht="16">
      <c r="B5005" s="9" t="s">
        <v>10</v>
      </c>
      <c r="C5005" s="13" t="s">
        <v>322</v>
      </c>
      <c r="D5005" s="13"/>
      <c r="E5005" s="13"/>
      <c r="F5005" s="14"/>
    </row>
    <row r="5006" spans="2:6" ht="16">
      <c r="B5006" s="9" t="s">
        <v>12</v>
      </c>
      <c r="C5006" s="15">
        <f>C4948</f>
        <v>46024</v>
      </c>
      <c r="D5006" s="13"/>
      <c r="E5006" s="13"/>
      <c r="F5006" s="14"/>
    </row>
    <row r="5007" spans="2:6" ht="17" thickBot="1">
      <c r="B5007" s="8"/>
      <c r="C5007" s="8"/>
      <c r="D5007" s="8"/>
      <c r="E5007" s="8"/>
    </row>
    <row r="5008" spans="2:6" ht="15" thickTop="1" thickBot="1">
      <c r="B5008" s="16" t="s">
        <v>13</v>
      </c>
      <c r="C5008" s="17" t="s">
        <v>14</v>
      </c>
      <c r="D5008" s="17" t="s">
        <v>15</v>
      </c>
      <c r="E5008" s="17" t="s">
        <v>16</v>
      </c>
      <c r="F5008" s="18" t="s">
        <v>17</v>
      </c>
    </row>
    <row r="5009" spans="2:6" ht="14" thickTop="1">
      <c r="B5009" s="19"/>
      <c r="C5009" s="19"/>
      <c r="D5009" s="19"/>
      <c r="E5009" s="19"/>
      <c r="F5009" s="19"/>
    </row>
    <row r="5010" spans="2:6">
      <c r="B5010" s="20" t="s">
        <v>320</v>
      </c>
      <c r="C5010" s="21" t="s">
        <v>179</v>
      </c>
      <c r="D5010" s="21">
        <v>1</v>
      </c>
      <c r="E5010" s="22">
        <v>12000</v>
      </c>
      <c r="F5010" s="22">
        <f t="shared" ref="F5010:F5015" si="84">E5010*D5010</f>
        <v>12000</v>
      </c>
    </row>
    <row r="5011" spans="2:6">
      <c r="B5011" s="20"/>
      <c r="C5011" s="21"/>
      <c r="D5011" s="21"/>
      <c r="E5011" s="22"/>
      <c r="F5011" s="22">
        <f t="shared" si="84"/>
        <v>0</v>
      </c>
    </row>
    <row r="5012" spans="2:6">
      <c r="B5012" s="20"/>
      <c r="C5012" s="21"/>
      <c r="D5012" s="21"/>
      <c r="E5012" s="22"/>
      <c r="F5012" s="22">
        <f t="shared" si="84"/>
        <v>0</v>
      </c>
    </row>
    <row r="5013" spans="2:6">
      <c r="B5013" s="20"/>
      <c r="C5013" s="21"/>
      <c r="D5013" s="21"/>
      <c r="E5013" s="22"/>
      <c r="F5013" s="22">
        <f t="shared" si="84"/>
        <v>0</v>
      </c>
    </row>
    <row r="5014" spans="2:6">
      <c r="B5014" s="20"/>
      <c r="C5014" s="21"/>
      <c r="D5014" s="21"/>
      <c r="E5014" s="22"/>
      <c r="F5014" s="22">
        <f t="shared" si="84"/>
        <v>0</v>
      </c>
    </row>
    <row r="5015" spans="2:6">
      <c r="B5015" s="20"/>
      <c r="C5015" s="21"/>
      <c r="D5015" s="21"/>
      <c r="E5015" s="22"/>
      <c r="F5015" s="22">
        <f t="shared" si="84"/>
        <v>0</v>
      </c>
    </row>
    <row r="5016" spans="2:6" ht="17" thickBot="1">
      <c r="B5016" s="6" t="s">
        <v>19</v>
      </c>
      <c r="C5016" s="8"/>
      <c r="D5016" s="8"/>
      <c r="E5016" s="8"/>
      <c r="F5016" s="23">
        <f>SUM(F5010:F5015)</f>
        <v>12000</v>
      </c>
    </row>
    <row r="5017" spans="2:6" ht="17" thickBot="1">
      <c r="B5017" s="8"/>
      <c r="C5017" s="8"/>
      <c r="D5017" s="8"/>
      <c r="E5017" s="8"/>
    </row>
    <row r="5018" spans="2:6" ht="15" thickTop="1" thickBot="1">
      <c r="B5018" s="16" t="s">
        <v>20</v>
      </c>
      <c r="C5018" s="17" t="s">
        <v>14</v>
      </c>
      <c r="D5018" s="17" t="s">
        <v>15</v>
      </c>
      <c r="E5018" s="17" t="s">
        <v>16</v>
      </c>
      <c r="F5018" s="18" t="s">
        <v>17</v>
      </c>
    </row>
    <row r="5019" spans="2:6" ht="17" thickTop="1">
      <c r="B5019" s="8"/>
      <c r="C5019" s="8"/>
      <c r="D5019" s="8"/>
      <c r="E5019" s="8"/>
    </row>
    <row r="5020" spans="2:6">
      <c r="B5020" s="24" t="s">
        <v>316</v>
      </c>
      <c r="C5020" s="20" t="s">
        <v>22</v>
      </c>
      <c r="D5020" s="20">
        <v>0.1</v>
      </c>
      <c r="E5020" s="22">
        <v>27500</v>
      </c>
      <c r="F5020" s="25">
        <f>E5020*D5020</f>
        <v>2750</v>
      </c>
    </row>
    <row r="5021" spans="2:6">
      <c r="B5021" s="20" t="s">
        <v>317</v>
      </c>
      <c r="C5021" s="20" t="s">
        <v>22</v>
      </c>
      <c r="D5021" s="20">
        <v>0.1</v>
      </c>
      <c r="E5021" s="22">
        <v>15000</v>
      </c>
      <c r="F5021" s="25">
        <f>E5021*D5021</f>
        <v>1500</v>
      </c>
    </row>
    <row r="5022" spans="2:6" ht="16">
      <c r="B5022" s="26"/>
      <c r="C5022" s="26"/>
      <c r="D5022" s="26"/>
      <c r="E5022" s="26"/>
      <c r="F5022" s="25">
        <f>E5022*D5022</f>
        <v>0</v>
      </c>
    </row>
    <row r="5023" spans="2:6" ht="16">
      <c r="B5023" s="26"/>
      <c r="C5023" s="26"/>
      <c r="D5023" s="26"/>
      <c r="E5023" s="26"/>
      <c r="F5023" s="25">
        <f>E5023*D5023</f>
        <v>0</v>
      </c>
    </row>
    <row r="5024" spans="2:6" ht="16">
      <c r="B5024" s="27" t="s">
        <v>25</v>
      </c>
      <c r="C5024" s="27" t="s">
        <v>26</v>
      </c>
      <c r="D5024" s="28">
        <v>0.32</v>
      </c>
      <c r="E5024" s="29">
        <v>0</v>
      </c>
      <c r="F5024" s="25">
        <f>E5024*D5024</f>
        <v>0</v>
      </c>
    </row>
    <row r="5025" spans="2:6" ht="16">
      <c r="B5025" s="8"/>
      <c r="C5025" s="8"/>
      <c r="D5025" s="8"/>
      <c r="E5025" s="8"/>
    </row>
    <row r="5026" spans="2:6" ht="17" thickBot="1">
      <c r="B5026" s="6" t="s">
        <v>27</v>
      </c>
      <c r="C5026" s="8"/>
      <c r="D5026" s="8"/>
      <c r="E5026" s="8"/>
      <c r="F5026" s="23">
        <f>SUM(F5020:F5025)</f>
        <v>4250</v>
      </c>
    </row>
    <row r="5027" spans="2:6" ht="17" thickBot="1">
      <c r="B5027" s="8"/>
      <c r="C5027" s="8"/>
      <c r="D5027" s="8"/>
      <c r="E5027" s="8"/>
    </row>
    <row r="5028" spans="2:6" ht="15" thickTop="1" thickBot="1">
      <c r="B5028" s="16" t="s">
        <v>28</v>
      </c>
      <c r="C5028" s="17" t="s">
        <v>14</v>
      </c>
      <c r="D5028" s="17" t="s">
        <v>15</v>
      </c>
      <c r="E5028" s="17" t="s">
        <v>16</v>
      </c>
      <c r="F5028" s="18" t="s">
        <v>17</v>
      </c>
    </row>
    <row r="5029" spans="2:6" ht="17" thickTop="1">
      <c r="B5029" s="8"/>
      <c r="C5029" s="8"/>
      <c r="D5029" s="8"/>
      <c r="E5029" s="8"/>
    </row>
    <row r="5030" spans="2:6">
      <c r="B5030" s="20" t="s">
        <v>31</v>
      </c>
      <c r="C5030" s="20" t="s">
        <v>32</v>
      </c>
      <c r="D5030" s="68">
        <v>1</v>
      </c>
      <c r="E5030" s="22">
        <v>25000</v>
      </c>
      <c r="F5030" s="25">
        <f>E5030*D5030</f>
        <v>25000</v>
      </c>
    </row>
    <row r="5031" spans="2:6">
      <c r="B5031" s="20"/>
      <c r="C5031" s="20"/>
      <c r="D5031" s="68"/>
      <c r="E5031" s="22"/>
      <c r="F5031" s="25">
        <f>E5031*D5031</f>
        <v>0</v>
      </c>
    </row>
    <row r="5032" spans="2:6" ht="16">
      <c r="B5032" s="26"/>
      <c r="C5032" s="26"/>
      <c r="D5032" s="26"/>
      <c r="E5032" s="26"/>
      <c r="F5032" s="25">
        <f>E5032*D5032</f>
        <v>0</v>
      </c>
    </row>
    <row r="5033" spans="2:6" ht="16">
      <c r="B5033" s="26"/>
      <c r="C5033" s="26"/>
      <c r="D5033" s="26"/>
      <c r="E5033" s="26"/>
      <c r="F5033" s="25">
        <f>E5033*D5033</f>
        <v>0</v>
      </c>
    </row>
    <row r="5034" spans="2:6" ht="16">
      <c r="B5034" s="30"/>
      <c r="C5034" s="26"/>
      <c r="D5034" s="26"/>
      <c r="E5034" s="26"/>
      <c r="F5034" s="25">
        <f>E5034*D5034</f>
        <v>0</v>
      </c>
    </row>
    <row r="5035" spans="2:6" ht="16">
      <c r="B5035" s="8"/>
      <c r="C5035" s="8"/>
      <c r="D5035" s="8"/>
      <c r="E5035" s="8"/>
    </row>
    <row r="5036" spans="2:6" ht="14" thickBot="1">
      <c r="B5036" s="19" t="s">
        <v>33</v>
      </c>
      <c r="C5036" s="19"/>
      <c r="D5036" s="19"/>
      <c r="E5036" s="19"/>
      <c r="F5036" s="23">
        <f>SUM(F5030:F5035)</f>
        <v>25000</v>
      </c>
    </row>
    <row r="5037" spans="2:6" ht="16">
      <c r="B5037" s="8"/>
      <c r="C5037" s="8"/>
      <c r="D5037" s="8"/>
      <c r="E5037" s="8"/>
    </row>
    <row r="5038" spans="2:6" ht="17" thickBot="1">
      <c r="B5038" s="8"/>
      <c r="C5038" s="8"/>
      <c r="D5038" s="8"/>
      <c r="E5038" s="8"/>
    </row>
    <row r="5039" spans="2:6" ht="17" thickBot="1">
      <c r="B5039" s="31" t="s">
        <v>34</v>
      </c>
      <c r="C5039" s="13"/>
      <c r="D5039" s="13"/>
      <c r="E5039" s="13"/>
      <c r="F5039" s="32">
        <f>F5016+F5026+F5036</f>
        <v>41250</v>
      </c>
    </row>
    <row r="5040" spans="2:6" ht="17" thickBot="1">
      <c r="B5040" s="31" t="s">
        <v>35</v>
      </c>
      <c r="C5040" s="13"/>
      <c r="D5040" s="13"/>
      <c r="E5040" s="33">
        <v>0.1</v>
      </c>
      <c r="F5040" s="32">
        <f>F5039*E5040</f>
        <v>4125</v>
      </c>
    </row>
    <row r="5041" spans="2:6" ht="17" thickBot="1">
      <c r="B5041" s="31" t="s">
        <v>36</v>
      </c>
      <c r="C5041" s="13"/>
      <c r="D5041" s="13"/>
      <c r="E5041" s="33">
        <v>0.1</v>
      </c>
      <c r="F5041" s="32">
        <f>F5039*E5041</f>
        <v>4125</v>
      </c>
    </row>
    <row r="5042" spans="2:6" ht="17" thickBot="1">
      <c r="B5042" s="34" t="s">
        <v>37</v>
      </c>
      <c r="C5042" s="35"/>
      <c r="D5042" s="35"/>
      <c r="E5042" s="35"/>
      <c r="F5042" s="32">
        <f>SUM(F5039:F5041)</f>
        <v>49500</v>
      </c>
    </row>
    <row r="5043" spans="2:6" ht="17" thickBot="1">
      <c r="B5043" s="36"/>
      <c r="C5043" s="8"/>
      <c r="D5043" s="8"/>
      <c r="E5043" s="8"/>
    </row>
    <row r="5044" spans="2:6" ht="18" thickTop="1" thickBot="1">
      <c r="B5044" s="37" t="s">
        <v>38</v>
      </c>
      <c r="C5044" s="8"/>
      <c r="D5044" s="8"/>
      <c r="E5044" s="8"/>
    </row>
    <row r="5045" spans="2:6" ht="18" thickTop="1" thickBot="1">
      <c r="B5045" s="8"/>
      <c r="C5045" s="8"/>
      <c r="D5045" s="8"/>
      <c r="E5045" s="8"/>
    </row>
    <row r="5046" spans="2:6" ht="17" thickTop="1">
      <c r="B5046" s="38"/>
      <c r="C5046" s="13"/>
      <c r="D5046" s="13"/>
      <c r="E5046" s="39"/>
      <c r="F5046" s="40"/>
    </row>
    <row r="5047" spans="2:6" ht="16">
      <c r="B5047" s="38"/>
      <c r="C5047" s="13"/>
      <c r="D5047" s="13"/>
      <c r="E5047" s="41"/>
      <c r="F5047" s="42"/>
    </row>
    <row r="5048" spans="2:6" ht="16">
      <c r="B5048" s="38"/>
      <c r="C5048" s="13"/>
      <c r="D5048" s="13"/>
      <c r="E5048" s="41"/>
      <c r="F5048" s="42"/>
    </row>
    <row r="5049" spans="2:6" ht="17" thickBot="1">
      <c r="B5049" s="54"/>
      <c r="C5049" s="35"/>
      <c r="D5049" s="35"/>
      <c r="E5049" s="44"/>
      <c r="F5049" s="45"/>
    </row>
    <row r="5050" spans="2:6" ht="14" thickTop="1"/>
    <row r="5051" spans="2:6" ht="14" thickBot="1">
      <c r="B5051" s="1" t="s">
        <v>0</v>
      </c>
      <c r="C5051" s="1"/>
    </row>
    <row r="5052" spans="2:6" ht="17" thickBot="1">
      <c r="B5052" s="1" t="s">
        <v>1</v>
      </c>
      <c r="C5052" s="1"/>
      <c r="E5052" s="4" t="s">
        <v>2</v>
      </c>
      <c r="F5052" s="5"/>
    </row>
    <row r="5054" spans="2:6">
      <c r="B5054" s="6"/>
    </row>
    <row r="5055" spans="2:6" ht="16">
      <c r="B5055" s="7" t="s">
        <v>3</v>
      </c>
      <c r="C5055" s="7"/>
      <c r="D5055" s="7"/>
      <c r="E5055" s="7"/>
      <c r="F5055" s="7"/>
    </row>
    <row r="5056" spans="2:6" ht="16">
      <c r="B5056" s="8"/>
      <c r="C5056" s="8"/>
      <c r="D5056" s="8"/>
      <c r="E5056" s="8"/>
    </row>
    <row r="5057" spans="2:6" ht="16">
      <c r="B5057" s="9" t="s">
        <v>4</v>
      </c>
      <c r="C5057" s="13" t="str">
        <f>C4999</f>
        <v>MEJORAMIENTO ESPACIO PUBLICO JJVV LUCILA GODOY ALCAYAGA</v>
      </c>
      <c r="D5057" s="13"/>
      <c r="E5057" s="13"/>
      <c r="F5057" s="14"/>
    </row>
    <row r="5058" spans="2:6" ht="16">
      <c r="B5058" s="12"/>
      <c r="C5058" s="8"/>
      <c r="D5058" s="8"/>
      <c r="E5058" s="8"/>
    </row>
    <row r="5059" spans="2:6" ht="16">
      <c r="B5059" s="9" t="s">
        <v>5</v>
      </c>
      <c r="C5059" s="13" t="s">
        <v>6</v>
      </c>
      <c r="D5059" s="13"/>
      <c r="E5059" s="13"/>
      <c r="F5059" s="14"/>
    </row>
    <row r="5060" spans="2:6" ht="16">
      <c r="B5060" s="9"/>
      <c r="C5060" s="13"/>
      <c r="D5060" s="13"/>
      <c r="E5060" s="13"/>
      <c r="F5060" s="14"/>
    </row>
    <row r="5061" spans="2:6" ht="16">
      <c r="B5061" s="9" t="s">
        <v>7</v>
      </c>
      <c r="C5061" s="13" t="str">
        <f>[1]LGA!A116</f>
        <v>8.3</v>
      </c>
      <c r="D5061" s="13"/>
      <c r="E5061" s="13"/>
      <c r="F5061" s="14"/>
    </row>
    <row r="5062" spans="2:6" ht="16">
      <c r="B5062" s="9" t="s">
        <v>8</v>
      </c>
      <c r="C5062" s="13" t="s">
        <v>323</v>
      </c>
      <c r="D5062" s="13"/>
      <c r="E5062" s="13"/>
      <c r="F5062" s="14"/>
    </row>
    <row r="5063" spans="2:6" ht="16">
      <c r="B5063" s="9" t="s">
        <v>10</v>
      </c>
      <c r="C5063" s="13" t="s">
        <v>319</v>
      </c>
      <c r="D5063" s="13"/>
      <c r="E5063" s="13"/>
      <c r="F5063" s="14"/>
    </row>
    <row r="5064" spans="2:6" ht="16">
      <c r="B5064" s="9" t="s">
        <v>12</v>
      </c>
      <c r="C5064" s="15">
        <f>C5006</f>
        <v>46024</v>
      </c>
      <c r="D5064" s="13"/>
      <c r="E5064" s="13"/>
      <c r="F5064" s="14"/>
    </row>
    <row r="5065" spans="2:6" ht="17" thickBot="1">
      <c r="B5065" s="8"/>
      <c r="C5065" s="8"/>
      <c r="D5065" s="8"/>
      <c r="E5065" s="8"/>
    </row>
    <row r="5066" spans="2:6" ht="15" thickTop="1" thickBot="1">
      <c r="B5066" s="16" t="s">
        <v>13</v>
      </c>
      <c r="C5066" s="17" t="s">
        <v>14</v>
      </c>
      <c r="D5066" s="17" t="s">
        <v>15</v>
      </c>
      <c r="E5066" s="17" t="s">
        <v>16</v>
      </c>
      <c r="F5066" s="18" t="s">
        <v>17</v>
      </c>
    </row>
    <row r="5067" spans="2:6" ht="14" thickTop="1">
      <c r="B5067" s="19"/>
      <c r="C5067" s="19"/>
      <c r="D5067" s="19"/>
      <c r="E5067" s="19"/>
      <c r="F5067" s="19"/>
    </row>
    <row r="5068" spans="2:6">
      <c r="B5068" s="20" t="str">
        <f>C5062</f>
        <v xml:space="preserve">Penisetum </v>
      </c>
      <c r="C5068" s="21" t="s">
        <v>179</v>
      </c>
      <c r="D5068" s="21">
        <v>1</v>
      </c>
      <c r="E5068" s="22">
        <v>4500</v>
      </c>
      <c r="F5068" s="22">
        <f t="shared" ref="F5068:F5073" si="85">E5068*D5068</f>
        <v>4500</v>
      </c>
    </row>
    <row r="5069" spans="2:6">
      <c r="B5069" s="20"/>
      <c r="C5069" s="21"/>
      <c r="D5069" s="21"/>
      <c r="E5069" s="22"/>
      <c r="F5069" s="22">
        <f t="shared" si="85"/>
        <v>0</v>
      </c>
    </row>
    <row r="5070" spans="2:6">
      <c r="B5070" s="20"/>
      <c r="C5070" s="21"/>
      <c r="D5070" s="21"/>
      <c r="E5070" s="22"/>
      <c r="F5070" s="22">
        <f t="shared" si="85"/>
        <v>0</v>
      </c>
    </row>
    <row r="5071" spans="2:6">
      <c r="B5071" s="20"/>
      <c r="C5071" s="21"/>
      <c r="D5071" s="21"/>
      <c r="E5071" s="22"/>
      <c r="F5071" s="22">
        <f t="shared" si="85"/>
        <v>0</v>
      </c>
    </row>
    <row r="5072" spans="2:6">
      <c r="B5072" s="20"/>
      <c r="C5072" s="21"/>
      <c r="D5072" s="21"/>
      <c r="E5072" s="22"/>
      <c r="F5072" s="22">
        <f t="shared" si="85"/>
        <v>0</v>
      </c>
    </row>
    <row r="5073" spans="2:6">
      <c r="B5073" s="20"/>
      <c r="C5073" s="21"/>
      <c r="D5073" s="21"/>
      <c r="E5073" s="22"/>
      <c r="F5073" s="22">
        <f t="shared" si="85"/>
        <v>0</v>
      </c>
    </row>
    <row r="5074" spans="2:6" ht="17" thickBot="1">
      <c r="B5074" s="6" t="s">
        <v>19</v>
      </c>
      <c r="C5074" s="8"/>
      <c r="D5074" s="8"/>
      <c r="E5074" s="8"/>
      <c r="F5074" s="23">
        <f>SUM(F5068:F5073)</f>
        <v>4500</v>
      </c>
    </row>
    <row r="5075" spans="2:6" ht="17" thickBot="1">
      <c r="B5075" s="8"/>
      <c r="C5075" s="8"/>
      <c r="D5075" s="8"/>
      <c r="E5075" s="8"/>
    </row>
    <row r="5076" spans="2:6" ht="15" thickTop="1" thickBot="1">
      <c r="B5076" s="16" t="s">
        <v>20</v>
      </c>
      <c r="C5076" s="17" t="s">
        <v>14</v>
      </c>
      <c r="D5076" s="17" t="s">
        <v>15</v>
      </c>
      <c r="E5076" s="17" t="s">
        <v>16</v>
      </c>
      <c r="F5076" s="18" t="s">
        <v>17</v>
      </c>
    </row>
    <row r="5077" spans="2:6" ht="17" thickTop="1">
      <c r="B5077" s="8"/>
      <c r="C5077" s="8"/>
      <c r="D5077" s="8"/>
      <c r="E5077" s="8"/>
    </row>
    <row r="5078" spans="2:6">
      <c r="B5078" s="24" t="s">
        <v>316</v>
      </c>
      <c r="C5078" s="20" t="s">
        <v>22</v>
      </c>
      <c r="D5078" s="20">
        <v>0.1</v>
      </c>
      <c r="E5078" s="22">
        <v>27500</v>
      </c>
      <c r="F5078" s="25">
        <f>E5078*D5078</f>
        <v>2750</v>
      </c>
    </row>
    <row r="5079" spans="2:6">
      <c r="B5079" s="20" t="s">
        <v>317</v>
      </c>
      <c r="C5079" s="20" t="s">
        <v>22</v>
      </c>
      <c r="D5079" s="20">
        <v>0.1</v>
      </c>
      <c r="E5079" s="22">
        <v>15000</v>
      </c>
      <c r="F5079" s="25">
        <f>E5079*D5079</f>
        <v>1500</v>
      </c>
    </row>
    <row r="5080" spans="2:6" ht="16">
      <c r="B5080" s="26"/>
      <c r="C5080" s="26"/>
      <c r="D5080" s="26"/>
      <c r="E5080" s="26"/>
      <c r="F5080" s="25">
        <f>E5080*D5080</f>
        <v>0</v>
      </c>
    </row>
    <row r="5081" spans="2:6" ht="16">
      <c r="B5081" s="26"/>
      <c r="C5081" s="26"/>
      <c r="D5081" s="26"/>
      <c r="E5081" s="26"/>
      <c r="F5081" s="25">
        <f>E5081*D5081</f>
        <v>0</v>
      </c>
    </row>
    <row r="5082" spans="2:6" ht="16">
      <c r="B5082" s="27" t="s">
        <v>25</v>
      </c>
      <c r="C5082" s="27" t="s">
        <v>26</v>
      </c>
      <c r="D5082" s="28">
        <v>0.32</v>
      </c>
      <c r="E5082" s="29">
        <v>0</v>
      </c>
      <c r="F5082" s="25">
        <f>E5082*D5082</f>
        <v>0</v>
      </c>
    </row>
    <row r="5083" spans="2:6" ht="16">
      <c r="B5083" s="8"/>
      <c r="C5083" s="8"/>
      <c r="D5083" s="8"/>
      <c r="E5083" s="8"/>
    </row>
    <row r="5084" spans="2:6" ht="17" thickBot="1">
      <c r="B5084" s="6" t="s">
        <v>27</v>
      </c>
      <c r="C5084" s="8"/>
      <c r="D5084" s="8"/>
      <c r="E5084" s="8"/>
      <c r="F5084" s="23">
        <f>SUM(F5078:F5083)</f>
        <v>4250</v>
      </c>
    </row>
    <row r="5085" spans="2:6" ht="17" thickBot="1">
      <c r="B5085" s="8"/>
      <c r="C5085" s="8"/>
      <c r="D5085" s="8"/>
      <c r="E5085" s="8"/>
    </row>
    <row r="5086" spans="2:6" ht="15" thickTop="1" thickBot="1">
      <c r="B5086" s="16" t="s">
        <v>28</v>
      </c>
      <c r="C5086" s="17" t="s">
        <v>14</v>
      </c>
      <c r="D5086" s="17" t="s">
        <v>15</v>
      </c>
      <c r="E5086" s="17" t="s">
        <v>16</v>
      </c>
      <c r="F5086" s="18" t="s">
        <v>17</v>
      </c>
    </row>
    <row r="5087" spans="2:6" ht="17" thickTop="1">
      <c r="B5087" s="8"/>
      <c r="C5087" s="8"/>
      <c r="D5087" s="8"/>
      <c r="E5087" s="8"/>
    </row>
    <row r="5088" spans="2:6">
      <c r="B5088" s="20" t="s">
        <v>31</v>
      </c>
      <c r="C5088" s="20" t="s">
        <v>32</v>
      </c>
      <c r="D5088" s="68">
        <v>1</v>
      </c>
      <c r="E5088" s="22">
        <v>25000</v>
      </c>
      <c r="F5088" s="25">
        <f>E5088*D5088</f>
        <v>25000</v>
      </c>
    </row>
    <row r="5089" spans="2:6">
      <c r="B5089" s="20"/>
      <c r="C5089" s="20"/>
      <c r="D5089" s="68"/>
      <c r="E5089" s="22"/>
      <c r="F5089" s="25">
        <f>E5089*D5089</f>
        <v>0</v>
      </c>
    </row>
    <row r="5090" spans="2:6" ht="16">
      <c r="B5090" s="26"/>
      <c r="C5090" s="26"/>
      <c r="D5090" s="26"/>
      <c r="E5090" s="26"/>
      <c r="F5090" s="25">
        <f>E5090*D5090</f>
        <v>0</v>
      </c>
    </row>
    <row r="5091" spans="2:6" ht="16">
      <c r="B5091" s="26"/>
      <c r="C5091" s="26"/>
      <c r="D5091" s="26"/>
      <c r="E5091" s="26"/>
      <c r="F5091" s="25">
        <f>E5091*D5091</f>
        <v>0</v>
      </c>
    </row>
    <row r="5092" spans="2:6" ht="16">
      <c r="B5092" s="30"/>
      <c r="C5092" s="26"/>
      <c r="D5092" s="26"/>
      <c r="E5092" s="26"/>
      <c r="F5092" s="25">
        <f>E5092*D5092</f>
        <v>0</v>
      </c>
    </row>
    <row r="5093" spans="2:6" ht="16">
      <c r="B5093" s="8"/>
      <c r="C5093" s="8"/>
      <c r="D5093" s="8"/>
      <c r="E5093" s="8"/>
    </row>
    <row r="5094" spans="2:6" ht="14" thickBot="1">
      <c r="B5094" s="19" t="s">
        <v>33</v>
      </c>
      <c r="C5094" s="19"/>
      <c r="D5094" s="19"/>
      <c r="E5094" s="19"/>
      <c r="F5094" s="23">
        <f>SUM(F5088:F5093)</f>
        <v>25000</v>
      </c>
    </row>
    <row r="5095" spans="2:6" ht="16">
      <c r="B5095" s="8"/>
      <c r="C5095" s="8"/>
      <c r="D5095" s="8"/>
      <c r="E5095" s="8"/>
    </row>
    <row r="5096" spans="2:6" ht="17" thickBot="1">
      <c r="B5096" s="8"/>
      <c r="C5096" s="8"/>
      <c r="D5096" s="8"/>
      <c r="E5096" s="8"/>
    </row>
    <row r="5097" spans="2:6" ht="17" thickBot="1">
      <c r="B5097" s="31" t="s">
        <v>34</v>
      </c>
      <c r="C5097" s="13"/>
      <c r="D5097" s="13"/>
      <c r="E5097" s="13"/>
      <c r="F5097" s="32">
        <f>F5074+F5084+F5094</f>
        <v>33750</v>
      </c>
    </row>
    <row r="5098" spans="2:6" ht="17" thickBot="1">
      <c r="B5098" s="31" t="s">
        <v>35</v>
      </c>
      <c r="C5098" s="13"/>
      <c r="D5098" s="13"/>
      <c r="E5098" s="33">
        <v>0.1</v>
      </c>
      <c r="F5098" s="32">
        <f>F5097*E5098</f>
        <v>3375</v>
      </c>
    </row>
    <row r="5099" spans="2:6" ht="17" thickBot="1">
      <c r="B5099" s="31" t="s">
        <v>36</v>
      </c>
      <c r="C5099" s="13"/>
      <c r="D5099" s="13"/>
      <c r="E5099" s="33">
        <v>0.1</v>
      </c>
      <c r="F5099" s="32">
        <f>F5097*E5099</f>
        <v>3375</v>
      </c>
    </row>
    <row r="5100" spans="2:6" ht="17" thickBot="1">
      <c r="B5100" s="34" t="s">
        <v>37</v>
      </c>
      <c r="C5100" s="35"/>
      <c r="D5100" s="35"/>
      <c r="E5100" s="35"/>
      <c r="F5100" s="32">
        <f>SUM(F5097:F5099)</f>
        <v>40500</v>
      </c>
    </row>
    <row r="5101" spans="2:6" ht="17" thickBot="1">
      <c r="B5101" s="36"/>
      <c r="C5101" s="8"/>
      <c r="D5101" s="8"/>
      <c r="E5101" s="8"/>
    </row>
    <row r="5102" spans="2:6" ht="18" thickTop="1" thickBot="1">
      <c r="B5102" s="37" t="s">
        <v>38</v>
      </c>
      <c r="C5102" s="8"/>
      <c r="D5102" s="8"/>
      <c r="E5102" s="8"/>
    </row>
    <row r="5103" spans="2:6" ht="18" thickTop="1" thickBot="1">
      <c r="B5103" s="8"/>
      <c r="C5103" s="8"/>
      <c r="D5103" s="8"/>
      <c r="E5103" s="8"/>
    </row>
    <row r="5104" spans="2:6" ht="17" thickTop="1">
      <c r="B5104" s="38"/>
      <c r="C5104" s="13"/>
      <c r="D5104" s="13"/>
      <c r="E5104" s="39"/>
      <c r="F5104" s="40"/>
    </row>
    <row r="5105" spans="2:6" ht="16">
      <c r="B5105" s="38"/>
      <c r="C5105" s="13"/>
      <c r="D5105" s="13"/>
      <c r="E5105" s="41"/>
      <c r="F5105" s="42"/>
    </row>
    <row r="5106" spans="2:6" ht="16">
      <c r="B5106" s="38"/>
      <c r="C5106" s="13"/>
      <c r="D5106" s="13"/>
      <c r="E5106" s="41"/>
      <c r="F5106" s="42"/>
    </row>
    <row r="5107" spans="2:6" ht="17" thickBot="1">
      <c r="B5107" s="54"/>
      <c r="C5107" s="35"/>
      <c r="D5107" s="35"/>
      <c r="E5107" s="44"/>
      <c r="F5107" s="45"/>
    </row>
    <row r="5108" spans="2:6" ht="14" thickTop="1"/>
  </sheetData>
  <mergeCells count="483">
    <mergeCell ref="B5051:C5051"/>
    <mergeCell ref="B5052:C5052"/>
    <mergeCell ref="E5052:F5052"/>
    <mergeCell ref="B5055:F5055"/>
    <mergeCell ref="E5107:F5107"/>
    <mergeCell ref="E4991:F4991"/>
    <mergeCell ref="B4993:C4993"/>
    <mergeCell ref="B4994:C4994"/>
    <mergeCell ref="E4994:F4994"/>
    <mergeCell ref="B4997:F4997"/>
    <mergeCell ref="E5049:F5049"/>
    <mergeCell ref="B4881:F4881"/>
    <mergeCell ref="E4933:F4933"/>
    <mergeCell ref="B4935:C4935"/>
    <mergeCell ref="B4936:C4936"/>
    <mergeCell ref="E4936:F4936"/>
    <mergeCell ref="B4939:F4939"/>
    <mergeCell ref="B4820:C4820"/>
    <mergeCell ref="E4820:F4820"/>
    <mergeCell ref="B4823:F4823"/>
    <mergeCell ref="E4875:F4875"/>
    <mergeCell ref="B4877:C4877"/>
    <mergeCell ref="B4878:C4878"/>
    <mergeCell ref="E4878:F4878"/>
    <mergeCell ref="B4761:C4761"/>
    <mergeCell ref="B4762:C4762"/>
    <mergeCell ref="E4762:F4762"/>
    <mergeCell ref="B4765:F4765"/>
    <mergeCell ref="E4817:F4817"/>
    <mergeCell ref="B4819:C4819"/>
    <mergeCell ref="E4701:F4701"/>
    <mergeCell ref="B4703:C4703"/>
    <mergeCell ref="B4704:C4704"/>
    <mergeCell ref="E4704:F4704"/>
    <mergeCell ref="B4707:F4707"/>
    <mergeCell ref="E4759:F4759"/>
    <mergeCell ref="B4591:F4591"/>
    <mergeCell ref="E4643:F4643"/>
    <mergeCell ref="B4645:C4645"/>
    <mergeCell ref="B4646:C4646"/>
    <mergeCell ref="E4646:F4646"/>
    <mergeCell ref="B4649:F4649"/>
    <mergeCell ref="B4529:C4529"/>
    <mergeCell ref="E4529:F4529"/>
    <mergeCell ref="B4532:F4532"/>
    <mergeCell ref="E4584:F4584"/>
    <mergeCell ref="B4587:C4587"/>
    <mergeCell ref="B4588:C4588"/>
    <mergeCell ref="E4588:F4588"/>
    <mergeCell ref="B4459:C4459"/>
    <mergeCell ref="B4460:C4460"/>
    <mergeCell ref="E4460:F4460"/>
    <mergeCell ref="B4463:F4463"/>
    <mergeCell ref="E4526:F4526"/>
    <mergeCell ref="B4528:C4528"/>
    <mergeCell ref="E4399:F4399"/>
    <mergeCell ref="B4401:C4401"/>
    <mergeCell ref="B4402:C4402"/>
    <mergeCell ref="E4402:F4402"/>
    <mergeCell ref="B4405:F4405"/>
    <mergeCell ref="E4457:F4457"/>
    <mergeCell ref="B4290:F4290"/>
    <mergeCell ref="E4342:F4342"/>
    <mergeCell ref="B4344:C4344"/>
    <mergeCell ref="B4345:C4345"/>
    <mergeCell ref="E4345:F4345"/>
    <mergeCell ref="B4347:F4347"/>
    <mergeCell ref="B4231:C4231"/>
    <mergeCell ref="E4231:F4231"/>
    <mergeCell ref="B4233:F4233"/>
    <mergeCell ref="E4285:F4285"/>
    <mergeCell ref="B4287:C4287"/>
    <mergeCell ref="B4288:C4288"/>
    <mergeCell ref="E4288:F4288"/>
    <mergeCell ref="B4174:C4174"/>
    <mergeCell ref="E4174:F4174"/>
    <mergeCell ref="B4176:F4176"/>
    <mergeCell ref="C4178:F4178"/>
    <mergeCell ref="E4228:F4228"/>
    <mergeCell ref="B4230:C4230"/>
    <mergeCell ref="B4117:C4117"/>
    <mergeCell ref="E4117:F4117"/>
    <mergeCell ref="B4119:F4119"/>
    <mergeCell ref="C4121:F4121"/>
    <mergeCell ref="E4171:F4171"/>
    <mergeCell ref="B4173:C4173"/>
    <mergeCell ref="B4060:C4060"/>
    <mergeCell ref="E4060:F4060"/>
    <mergeCell ref="B4062:F4062"/>
    <mergeCell ref="C4064:F4064"/>
    <mergeCell ref="E4114:F4114"/>
    <mergeCell ref="B4116:C4116"/>
    <mergeCell ref="B4003:C4003"/>
    <mergeCell ref="E4003:F4003"/>
    <mergeCell ref="B4005:F4005"/>
    <mergeCell ref="C4007:F4007"/>
    <mergeCell ref="E4057:F4057"/>
    <mergeCell ref="B4059:C4059"/>
    <mergeCell ref="B3946:C3946"/>
    <mergeCell ref="E3946:F3946"/>
    <mergeCell ref="B3948:F3948"/>
    <mergeCell ref="C3950:F3950"/>
    <mergeCell ref="E4000:F4000"/>
    <mergeCell ref="B4002:C4002"/>
    <mergeCell ref="B3889:C3889"/>
    <mergeCell ref="E3889:F3889"/>
    <mergeCell ref="B3891:F3891"/>
    <mergeCell ref="C3893:F3893"/>
    <mergeCell ref="E3943:F3943"/>
    <mergeCell ref="B3945:C3945"/>
    <mergeCell ref="B3832:C3832"/>
    <mergeCell ref="E3832:F3832"/>
    <mergeCell ref="B3834:F3834"/>
    <mergeCell ref="C3836:F3836"/>
    <mergeCell ref="E3886:F3886"/>
    <mergeCell ref="B3888:C3888"/>
    <mergeCell ref="B3774:C3774"/>
    <mergeCell ref="B3775:C3775"/>
    <mergeCell ref="E3775:F3775"/>
    <mergeCell ref="B3777:F3777"/>
    <mergeCell ref="E3829:F3829"/>
    <mergeCell ref="B3831:C3831"/>
    <mergeCell ref="E3715:F3715"/>
    <mergeCell ref="B3717:C3717"/>
    <mergeCell ref="B3718:C3718"/>
    <mergeCell ref="E3718:F3718"/>
    <mergeCell ref="B3720:F3720"/>
    <mergeCell ref="E3772:F3772"/>
    <mergeCell ref="E3658:F3658"/>
    <mergeCell ref="B3660:C3660"/>
    <mergeCell ref="B3661:C3661"/>
    <mergeCell ref="E3661:F3661"/>
    <mergeCell ref="B3663:F3663"/>
    <mergeCell ref="C3665:F3665"/>
    <mergeCell ref="E3601:F3601"/>
    <mergeCell ref="B3603:C3603"/>
    <mergeCell ref="B3604:C3604"/>
    <mergeCell ref="E3604:F3604"/>
    <mergeCell ref="B3606:F3606"/>
    <mergeCell ref="C3608:F3608"/>
    <mergeCell ref="B3492:F3492"/>
    <mergeCell ref="E3544:F3544"/>
    <mergeCell ref="B3546:C3546"/>
    <mergeCell ref="B3547:C3547"/>
    <mergeCell ref="E3547:F3547"/>
    <mergeCell ref="B3549:F3549"/>
    <mergeCell ref="B3433:C3433"/>
    <mergeCell ref="E3433:F3433"/>
    <mergeCell ref="B3435:F3435"/>
    <mergeCell ref="E3487:F3487"/>
    <mergeCell ref="B3489:C3489"/>
    <mergeCell ref="B3490:C3490"/>
    <mergeCell ref="E3490:F3490"/>
    <mergeCell ref="B3375:C3375"/>
    <mergeCell ref="B3376:C3376"/>
    <mergeCell ref="E3376:F3376"/>
    <mergeCell ref="B3378:F3378"/>
    <mergeCell ref="E3430:F3430"/>
    <mergeCell ref="B3432:C3432"/>
    <mergeCell ref="E3316:F3316"/>
    <mergeCell ref="B3318:C3318"/>
    <mergeCell ref="B3319:C3319"/>
    <mergeCell ref="E3319:F3319"/>
    <mergeCell ref="B3321:F3321"/>
    <mergeCell ref="E3373:F3373"/>
    <mergeCell ref="B3207:F3207"/>
    <mergeCell ref="E3259:F3259"/>
    <mergeCell ref="B3261:C3261"/>
    <mergeCell ref="B3262:C3262"/>
    <mergeCell ref="E3262:F3262"/>
    <mergeCell ref="B3264:F3264"/>
    <mergeCell ref="B3147:C3147"/>
    <mergeCell ref="E3147:F3147"/>
    <mergeCell ref="B3149:F3149"/>
    <mergeCell ref="E3201:F3201"/>
    <mergeCell ref="B3203:C3203"/>
    <mergeCell ref="B3204:C3204"/>
    <mergeCell ref="E3204:F3204"/>
    <mergeCell ref="B3089:C3089"/>
    <mergeCell ref="B3090:C3090"/>
    <mergeCell ref="E3090:F3090"/>
    <mergeCell ref="B3092:F3092"/>
    <mergeCell ref="E3144:F3144"/>
    <mergeCell ref="B3146:C3146"/>
    <mergeCell ref="E3030:F3030"/>
    <mergeCell ref="B3032:C3032"/>
    <mergeCell ref="B3033:C3033"/>
    <mergeCell ref="E3033:F3033"/>
    <mergeCell ref="B3035:F3035"/>
    <mergeCell ref="E3087:F3087"/>
    <mergeCell ref="B2920:F2920"/>
    <mergeCell ref="E2972:F2972"/>
    <mergeCell ref="B2975:C2975"/>
    <mergeCell ref="B2976:C2976"/>
    <mergeCell ref="E2976:F2976"/>
    <mergeCell ref="B2978:F2978"/>
    <mergeCell ref="B2862:C2862"/>
    <mergeCell ref="E2862:F2862"/>
    <mergeCell ref="B2864:F2864"/>
    <mergeCell ref="E2916:F2916"/>
    <mergeCell ref="B2917:C2917"/>
    <mergeCell ref="B2918:C2918"/>
    <mergeCell ref="E2918:F2918"/>
    <mergeCell ref="B2803:C2803"/>
    <mergeCell ref="B2804:C2804"/>
    <mergeCell ref="E2804:F2804"/>
    <mergeCell ref="B2806:F2806"/>
    <mergeCell ref="E2858:F2858"/>
    <mergeCell ref="B2861:C2861"/>
    <mergeCell ref="E2743:F2743"/>
    <mergeCell ref="B2746:C2746"/>
    <mergeCell ref="B2747:C2747"/>
    <mergeCell ref="E2747:F2747"/>
    <mergeCell ref="B2749:F2749"/>
    <mergeCell ref="E2801:F2801"/>
    <mergeCell ref="B2634:F2634"/>
    <mergeCell ref="E2686:F2686"/>
    <mergeCell ref="B2688:C2688"/>
    <mergeCell ref="B2689:C2689"/>
    <mergeCell ref="E2689:F2689"/>
    <mergeCell ref="B2691:F2691"/>
    <mergeCell ref="B2570:C2570"/>
    <mergeCell ref="E2570:F2570"/>
    <mergeCell ref="B2572:F2572"/>
    <mergeCell ref="E2629:F2629"/>
    <mergeCell ref="B2631:C2631"/>
    <mergeCell ref="B2632:C2632"/>
    <mergeCell ref="E2632:F2632"/>
    <mergeCell ref="B2512:C2512"/>
    <mergeCell ref="B2513:C2513"/>
    <mergeCell ref="E2513:F2513"/>
    <mergeCell ref="B2515:F2515"/>
    <mergeCell ref="E2567:F2567"/>
    <mergeCell ref="B2569:C2569"/>
    <mergeCell ref="E2452:F2452"/>
    <mergeCell ref="B2455:C2455"/>
    <mergeCell ref="B2456:C2456"/>
    <mergeCell ref="E2456:F2456"/>
    <mergeCell ref="B2458:F2458"/>
    <mergeCell ref="E2510:F2510"/>
    <mergeCell ref="E2395:F2395"/>
    <mergeCell ref="B2397:C2397"/>
    <mergeCell ref="B2398:C2398"/>
    <mergeCell ref="E2398:F2398"/>
    <mergeCell ref="B2400:F2400"/>
    <mergeCell ref="C2402:F2402"/>
    <mergeCell ref="B2286:F2286"/>
    <mergeCell ref="E2338:F2338"/>
    <mergeCell ref="B2340:C2340"/>
    <mergeCell ref="B2341:C2341"/>
    <mergeCell ref="E2341:F2341"/>
    <mergeCell ref="B2343:F2343"/>
    <mergeCell ref="B2228:F2228"/>
    <mergeCell ref="C2230:F2230"/>
    <mergeCell ref="E2280:F2280"/>
    <mergeCell ref="B2283:C2283"/>
    <mergeCell ref="B2284:C2284"/>
    <mergeCell ref="E2284:F2284"/>
    <mergeCell ref="B2169:C2169"/>
    <mergeCell ref="E2169:F2169"/>
    <mergeCell ref="B2171:F2171"/>
    <mergeCell ref="E2223:F2223"/>
    <mergeCell ref="B2225:C2225"/>
    <mergeCell ref="B2226:C2226"/>
    <mergeCell ref="E2226:F2226"/>
    <mergeCell ref="B2111:C2111"/>
    <mergeCell ref="E2111:F2111"/>
    <mergeCell ref="B2113:F2113"/>
    <mergeCell ref="C2115:F2115"/>
    <mergeCell ref="E2165:F2165"/>
    <mergeCell ref="B2168:C2168"/>
    <mergeCell ref="B2054:C2054"/>
    <mergeCell ref="E2054:F2054"/>
    <mergeCell ref="B2056:F2056"/>
    <mergeCell ref="C2058:F2058"/>
    <mergeCell ref="E2108:F2108"/>
    <mergeCell ref="B2110:C2110"/>
    <mergeCell ref="B1997:C1997"/>
    <mergeCell ref="E1997:F1997"/>
    <mergeCell ref="B1999:F1999"/>
    <mergeCell ref="C2001:F2001"/>
    <mergeCell ref="E2051:F2051"/>
    <mergeCell ref="B2053:C2053"/>
    <mergeCell ref="B1940:C1940"/>
    <mergeCell ref="E1940:F1940"/>
    <mergeCell ref="B1942:F1942"/>
    <mergeCell ref="C1944:F1944"/>
    <mergeCell ref="E1994:F1994"/>
    <mergeCell ref="B1996:C1996"/>
    <mergeCell ref="B1883:C1883"/>
    <mergeCell ref="E1883:F1883"/>
    <mergeCell ref="B1885:F1885"/>
    <mergeCell ref="C1887:F1887"/>
    <mergeCell ref="E1937:F1937"/>
    <mergeCell ref="B1939:C1939"/>
    <mergeCell ref="B1825:C1825"/>
    <mergeCell ref="B1826:C1826"/>
    <mergeCell ref="E1826:F1826"/>
    <mergeCell ref="B1828:F1828"/>
    <mergeCell ref="E1880:F1880"/>
    <mergeCell ref="B1882:C1882"/>
    <mergeCell ref="B1767:C1767"/>
    <mergeCell ref="B1768:C1768"/>
    <mergeCell ref="E1768:F1768"/>
    <mergeCell ref="B1770:F1770"/>
    <mergeCell ref="C1772:F1772"/>
    <mergeCell ref="E1822:F1822"/>
    <mergeCell ref="B1710:C1710"/>
    <mergeCell ref="B1711:C1711"/>
    <mergeCell ref="E1711:F1711"/>
    <mergeCell ref="B1713:F1713"/>
    <mergeCell ref="C1715:F1715"/>
    <mergeCell ref="E1765:F1765"/>
    <mergeCell ref="E1651:F1651"/>
    <mergeCell ref="B1654:C1654"/>
    <mergeCell ref="E1654:F1654"/>
    <mergeCell ref="B1656:F1656"/>
    <mergeCell ref="C1658:F1658"/>
    <mergeCell ref="E1708:F1708"/>
    <mergeCell ref="B1542:F1542"/>
    <mergeCell ref="E1594:F1594"/>
    <mergeCell ref="B1597:C1597"/>
    <mergeCell ref="E1597:F1597"/>
    <mergeCell ref="B1599:F1599"/>
    <mergeCell ref="C1601:F1601"/>
    <mergeCell ref="B1482:C1482"/>
    <mergeCell ref="E1482:F1482"/>
    <mergeCell ref="B1485:F1485"/>
    <mergeCell ref="E1537:F1537"/>
    <mergeCell ref="B1539:C1539"/>
    <mergeCell ref="B1540:C1540"/>
    <mergeCell ref="E1540:F1540"/>
    <mergeCell ref="B1424:C1424"/>
    <mergeCell ref="B1425:C1425"/>
    <mergeCell ref="E1425:F1425"/>
    <mergeCell ref="B1427:F1427"/>
    <mergeCell ref="E1479:F1479"/>
    <mergeCell ref="B1481:C1481"/>
    <mergeCell ref="B1369:C1369"/>
    <mergeCell ref="B1370:C1370"/>
    <mergeCell ref="E1370:F1370"/>
    <mergeCell ref="B1372:F1372"/>
    <mergeCell ref="C1374:F1374"/>
    <mergeCell ref="E1422:F1422"/>
    <mergeCell ref="B1312:C1312"/>
    <mergeCell ref="B1313:C1313"/>
    <mergeCell ref="E1313:F1313"/>
    <mergeCell ref="B1315:F1315"/>
    <mergeCell ref="C1317:F1317"/>
    <mergeCell ref="E1367:F1367"/>
    <mergeCell ref="B1255:C1255"/>
    <mergeCell ref="B1256:C1256"/>
    <mergeCell ref="E1256:F1256"/>
    <mergeCell ref="B1258:F1258"/>
    <mergeCell ref="C1260:F1260"/>
    <mergeCell ref="E1310:F1310"/>
    <mergeCell ref="B1198:C1198"/>
    <mergeCell ref="B1199:C1199"/>
    <mergeCell ref="E1199:F1199"/>
    <mergeCell ref="B1201:F1201"/>
    <mergeCell ref="C1203:F1203"/>
    <mergeCell ref="E1253:F1253"/>
    <mergeCell ref="B1141:C1141"/>
    <mergeCell ref="B1142:C1142"/>
    <mergeCell ref="E1142:F1142"/>
    <mergeCell ref="B1144:F1144"/>
    <mergeCell ref="C1146:F1146"/>
    <mergeCell ref="E1196:F1196"/>
    <mergeCell ref="B1084:C1084"/>
    <mergeCell ref="B1085:C1085"/>
    <mergeCell ref="E1085:F1085"/>
    <mergeCell ref="B1087:F1087"/>
    <mergeCell ref="C1089:F1089"/>
    <mergeCell ref="E1139:F1139"/>
    <mergeCell ref="B1027:C1027"/>
    <mergeCell ref="B1028:C1028"/>
    <mergeCell ref="E1028:F1028"/>
    <mergeCell ref="B1030:F1030"/>
    <mergeCell ref="C1032:F1032"/>
    <mergeCell ref="E1082:F1082"/>
    <mergeCell ref="E968:F968"/>
    <mergeCell ref="B970:C970"/>
    <mergeCell ref="B971:C971"/>
    <mergeCell ref="E971:F971"/>
    <mergeCell ref="B973:F973"/>
    <mergeCell ref="E1025:F1025"/>
    <mergeCell ref="E911:F911"/>
    <mergeCell ref="B913:C913"/>
    <mergeCell ref="B914:C914"/>
    <mergeCell ref="E914:F914"/>
    <mergeCell ref="B916:F916"/>
    <mergeCell ref="C918:F918"/>
    <mergeCell ref="E854:F854"/>
    <mergeCell ref="B856:C856"/>
    <mergeCell ref="B857:C857"/>
    <mergeCell ref="E857:F857"/>
    <mergeCell ref="B859:F859"/>
    <mergeCell ref="C861:F861"/>
    <mergeCell ref="E797:F797"/>
    <mergeCell ref="B799:C799"/>
    <mergeCell ref="B800:C800"/>
    <mergeCell ref="E800:F800"/>
    <mergeCell ref="B802:F802"/>
    <mergeCell ref="C804:F804"/>
    <mergeCell ref="C689:F689"/>
    <mergeCell ref="E739:F739"/>
    <mergeCell ref="B742:C742"/>
    <mergeCell ref="B743:C743"/>
    <mergeCell ref="E743:F743"/>
    <mergeCell ref="B745:F745"/>
    <mergeCell ref="B630:F630"/>
    <mergeCell ref="E682:F682"/>
    <mergeCell ref="B684:C684"/>
    <mergeCell ref="B685:C685"/>
    <mergeCell ref="E685:F685"/>
    <mergeCell ref="B687:F687"/>
    <mergeCell ref="B573:F573"/>
    <mergeCell ref="C575:F575"/>
    <mergeCell ref="E625:F625"/>
    <mergeCell ref="B627:C627"/>
    <mergeCell ref="B628:C628"/>
    <mergeCell ref="E628:F628"/>
    <mergeCell ref="B516:F516"/>
    <mergeCell ref="C518:F518"/>
    <mergeCell ref="E568:F568"/>
    <mergeCell ref="B570:C570"/>
    <mergeCell ref="B571:C571"/>
    <mergeCell ref="E571:F571"/>
    <mergeCell ref="B458:F458"/>
    <mergeCell ref="C460:F460"/>
    <mergeCell ref="E510:F510"/>
    <mergeCell ref="B513:C513"/>
    <mergeCell ref="B514:C514"/>
    <mergeCell ref="E514:F514"/>
    <mergeCell ref="B401:F401"/>
    <mergeCell ref="C403:F403"/>
    <mergeCell ref="E453:F453"/>
    <mergeCell ref="B455:C455"/>
    <mergeCell ref="B456:C456"/>
    <mergeCell ref="E456:F456"/>
    <mergeCell ref="B342:C342"/>
    <mergeCell ref="E342:F342"/>
    <mergeCell ref="B344:F344"/>
    <mergeCell ref="C346:F346"/>
    <mergeCell ref="E396:F396"/>
    <mergeCell ref="B399:C399"/>
    <mergeCell ref="E399:F399"/>
    <mergeCell ref="B284:C284"/>
    <mergeCell ref="B285:C285"/>
    <mergeCell ref="E285:F285"/>
    <mergeCell ref="B287:F287"/>
    <mergeCell ref="C289:F289"/>
    <mergeCell ref="E339:F339"/>
    <mergeCell ref="B227:C227"/>
    <mergeCell ref="B228:C228"/>
    <mergeCell ref="E228:F228"/>
    <mergeCell ref="B230:F230"/>
    <mergeCell ref="C232:F232"/>
    <mergeCell ref="E282:F282"/>
    <mergeCell ref="B171:C171"/>
    <mergeCell ref="B172:C172"/>
    <mergeCell ref="E172:F172"/>
    <mergeCell ref="B174:F174"/>
    <mergeCell ref="C176:F176"/>
    <mergeCell ref="E224:F224"/>
    <mergeCell ref="B114:C114"/>
    <mergeCell ref="B115:C115"/>
    <mergeCell ref="E115:F115"/>
    <mergeCell ref="B117:F117"/>
    <mergeCell ref="C119:F119"/>
    <mergeCell ref="E169:F169"/>
    <mergeCell ref="B59:C59"/>
    <mergeCell ref="B60:C60"/>
    <mergeCell ref="E60:F60"/>
    <mergeCell ref="B62:F62"/>
    <mergeCell ref="C64:F64"/>
    <mergeCell ref="E112:F112"/>
    <mergeCell ref="B1:C1"/>
    <mergeCell ref="B2:C2"/>
    <mergeCell ref="E2:F2"/>
    <mergeCell ref="B4:F4"/>
    <mergeCell ref="C6:F6"/>
    <mergeCell ref="E55:F55"/>
  </mergeCells>
  <printOptions horizontalCentered="1"/>
  <pageMargins left="0.7" right="0.7" top="0.75" bottom="0.75" header="0.3" footer="0.3"/>
  <pageSetup scale="10" orientation="portrait"/>
  <headerFooter alignWithMargins="0"/>
  <rowBreaks count="6" manualBreakCount="6">
    <brk id="58" min="1" max="5" man="1"/>
    <brk id="226" min="1" max="5" man="1"/>
    <brk id="512" min="1" max="5" man="1"/>
    <brk id="683" min="1" max="5" man="1"/>
    <brk id="855" min="1" max="5" man="1"/>
    <brk id="569" min="1" max="5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APU </vt:lpstr>
      <vt:lpstr>'APU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2026-01-09T04:12:20Z</dcterms:created>
  <dcterms:modified xsi:type="dcterms:W3CDTF">2026-01-09T04:12:43Z</dcterms:modified>
</cp:coreProperties>
</file>