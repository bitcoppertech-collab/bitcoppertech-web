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0" windowWidth="15345" windowHeight="11520" tabRatio="866" firstSheet="1" activeTab="1"/>
  </bookViews>
  <sheets>
    <sheet name="Hoja2" sheetId="9" state="hidden" r:id="rId1"/>
    <sheet name="FINAL corregido" sheetId="38" r:id="rId2"/>
  </sheets>
  <definedNames>
    <definedName name="_xlnm.Print_Area" localSheetId="1">'FINAL corregido'!$B$2:$H$107</definedName>
  </definedNames>
  <calcPr calcId="145621"/>
</workbook>
</file>

<file path=xl/calcChain.xml><?xml version="1.0" encoding="utf-8"?>
<calcChain xmlns="http://schemas.openxmlformats.org/spreadsheetml/2006/main">
  <c r="H91" i="38" l="1"/>
  <c r="H92" i="38" l="1"/>
  <c r="H93" i="38"/>
  <c r="H94" i="38" l="1"/>
  <c r="H95" i="38" s="1"/>
  <c r="H96" i="38" s="1"/>
</calcChain>
</file>

<file path=xl/sharedStrings.xml><?xml version="1.0" encoding="utf-8"?>
<sst xmlns="http://schemas.openxmlformats.org/spreadsheetml/2006/main" count="274" uniqueCount="205">
  <si>
    <t>m2</t>
  </si>
  <si>
    <t>ml</t>
  </si>
  <si>
    <t>IVA</t>
  </si>
  <si>
    <t>PARTIDA</t>
  </si>
  <si>
    <t>UNIDAD</t>
  </si>
  <si>
    <t>CANTIDAD</t>
  </si>
  <si>
    <t>TOTAL</t>
  </si>
  <si>
    <t>ÍTEM</t>
  </si>
  <si>
    <t>COSTO DIRECTO</t>
  </si>
  <si>
    <t>TOTAL APORTE SOLICITADO EN OBRAS CIVILES / LICITACIÓN PÚBLICA</t>
  </si>
  <si>
    <t>NOMBRE DEL PROYECTO</t>
  </si>
  <si>
    <t>DIRECCIÓN</t>
  </si>
  <si>
    <t>COMUNA</t>
  </si>
  <si>
    <t>ANTOFAGASTA</t>
  </si>
  <si>
    <t>CALAMA</t>
  </si>
  <si>
    <t>TOCOPILLA</t>
  </si>
  <si>
    <t>MEJILLONES</t>
  </si>
  <si>
    <t>MARÍA ELENA</t>
  </si>
  <si>
    <t>TALTAL</t>
  </si>
  <si>
    <t>SIERRA GORDA</t>
  </si>
  <si>
    <t>OLLAGÜE</t>
  </si>
  <si>
    <t>SAN PEDRO DE ATACAMA</t>
  </si>
  <si>
    <t>EL LOA</t>
  </si>
  <si>
    <t>SELECCIONAR</t>
  </si>
  <si>
    <t>PROPIETARIO</t>
  </si>
  <si>
    <t>PROFESIONAL RESPONSABLE</t>
  </si>
  <si>
    <t>MUNICIPALIDAD DE CALAMA</t>
  </si>
  <si>
    <t>MUNICIPALIDAD DE TOCOPILLA</t>
  </si>
  <si>
    <t>MUNICIPALIDAD DE MEJILLONES</t>
  </si>
  <si>
    <t>MUNICIPALIDAD DE MARÍA ELENA</t>
  </si>
  <si>
    <t>MUNICIPALIDAD DE TALTAL</t>
  </si>
  <si>
    <t>MUNICIPALIDAD DE SIERRA GORDA</t>
  </si>
  <si>
    <t>MUNICIPALIDAD DE SAN PEDRO DE ATACAMA</t>
  </si>
  <si>
    <t>MUNICIPALIDAD DE OLLAGÜE</t>
  </si>
  <si>
    <t>MUNICIPALIDAD DE ANTOFAGASTA</t>
  </si>
  <si>
    <t>UTILIDADES</t>
  </si>
  <si>
    <t>GASTOS GENERALES</t>
  </si>
  <si>
    <t>NETO</t>
  </si>
  <si>
    <t>ADMINISTRACIÓN DIRECTA</t>
  </si>
  <si>
    <t>CONVENIO MARCO</t>
  </si>
  <si>
    <t>LICITACIÓN PÚBLICA</t>
  </si>
  <si>
    <t>TRATO DIRECTO</t>
  </si>
  <si>
    <t>TIPO DE EJECUCIÓN</t>
  </si>
  <si>
    <t>OBRAS PREVIAS</t>
  </si>
  <si>
    <t>1.1</t>
  </si>
  <si>
    <t>Instalación de faenas</t>
  </si>
  <si>
    <t>mes</t>
  </si>
  <si>
    <t>1.2</t>
  </si>
  <si>
    <t>Instalaciones provisorias</t>
  </si>
  <si>
    <t>1.3</t>
  </si>
  <si>
    <t>Replanteo, trazado y nivelación</t>
  </si>
  <si>
    <t>1.4</t>
  </si>
  <si>
    <t>Letrero indicativo de obra</t>
  </si>
  <si>
    <t>1.5</t>
  </si>
  <si>
    <t>Limpieza y despeje de terreno</t>
  </si>
  <si>
    <t>kg</t>
  </si>
  <si>
    <t>2.1</t>
  </si>
  <si>
    <t>PRECIO UNITARIO  $</t>
  </si>
  <si>
    <t>SECPLAC</t>
  </si>
  <si>
    <t>m3</t>
  </si>
  <si>
    <t>gl</t>
  </si>
  <si>
    <t>Cierres provisorios</t>
  </si>
  <si>
    <t>Baños quimicos</t>
  </si>
  <si>
    <t>Hormigón G25</t>
  </si>
  <si>
    <t>und</t>
  </si>
  <si>
    <t>Retiro de escombros</t>
  </si>
  <si>
    <t>3.1</t>
  </si>
  <si>
    <t>1.6</t>
  </si>
  <si>
    <t>1.7</t>
  </si>
  <si>
    <t>1.8</t>
  </si>
  <si>
    <t>2.1.1</t>
  </si>
  <si>
    <t>2.1.2</t>
  </si>
  <si>
    <t>2.1.3</t>
  </si>
  <si>
    <t>Emplantillado</t>
  </si>
  <si>
    <t>2.1.4</t>
  </si>
  <si>
    <t>2.1.5</t>
  </si>
  <si>
    <t>Enfierradura</t>
  </si>
  <si>
    <t>Terminación poliuretano y demarcación deportiva</t>
  </si>
  <si>
    <t>3.2</t>
  </si>
  <si>
    <t xml:space="preserve">Estabilizado compactado </t>
  </si>
  <si>
    <t>Demolición (para fundaciones)</t>
  </si>
  <si>
    <t>2.2</t>
  </si>
  <si>
    <t>Acero</t>
  </si>
  <si>
    <t>2.2.1</t>
  </si>
  <si>
    <t>2.3</t>
  </si>
  <si>
    <t>2.3.1</t>
  </si>
  <si>
    <t>2.3.2</t>
  </si>
  <si>
    <t>City panel liso</t>
  </si>
  <si>
    <t>City panel microperforado</t>
  </si>
  <si>
    <t>3.2.1</t>
  </si>
  <si>
    <t>3.2.2</t>
  </si>
  <si>
    <t>3.2.3</t>
  </si>
  <si>
    <t>Pernos 3/4"</t>
  </si>
  <si>
    <t>2.2.2</t>
  </si>
  <si>
    <t>2.2.3</t>
  </si>
  <si>
    <t>Pletina 5mm</t>
  </si>
  <si>
    <t>unidad</t>
  </si>
  <si>
    <t>2.2.4</t>
  </si>
  <si>
    <t>2.1.6</t>
  </si>
  <si>
    <t>2.1.7</t>
  </si>
  <si>
    <t>Pletina de anclaje</t>
  </si>
  <si>
    <t>Pernos J de anclaje</t>
  </si>
  <si>
    <t>2.3.3</t>
  </si>
  <si>
    <t>2.3.4</t>
  </si>
  <si>
    <t xml:space="preserve">Pv4 Zincalum </t>
  </si>
  <si>
    <t>Pv4 Opal</t>
  </si>
  <si>
    <t>Retiro de malla existente</t>
  </si>
  <si>
    <t>Pintura murete perimetral</t>
  </si>
  <si>
    <t>Anticorrosivo</t>
  </si>
  <si>
    <t>Pintura Oleo</t>
  </si>
  <si>
    <t>2.2.5</t>
  </si>
  <si>
    <t>Terminación estructura metalica del cierre</t>
  </si>
  <si>
    <t>1.9</t>
  </si>
  <si>
    <t>2.1.8</t>
  </si>
  <si>
    <t>Excavaciones</t>
  </si>
  <si>
    <t>Malla de fortificación</t>
  </si>
  <si>
    <t>Instalacion, canalizaciones, TDA</t>
  </si>
  <si>
    <t>2.1.9</t>
  </si>
  <si>
    <t>Moldaje</t>
  </si>
  <si>
    <t>Polietileno</t>
  </si>
  <si>
    <t xml:space="preserve">ESPACIO PUBLICO </t>
  </si>
  <si>
    <t>Fundaciones - Cubierta liviana</t>
  </si>
  <si>
    <t>Estructura metalica - Cubierta liviana</t>
  </si>
  <si>
    <t>SECTOR DE MULTICANCHA</t>
  </si>
  <si>
    <t>2.4</t>
  </si>
  <si>
    <t>2.5</t>
  </si>
  <si>
    <t>2.4.1</t>
  </si>
  <si>
    <t>2.5.1</t>
  </si>
  <si>
    <t>2.6</t>
  </si>
  <si>
    <t>2.6.1</t>
  </si>
  <si>
    <t>2.6.2</t>
  </si>
  <si>
    <t>2.6.3</t>
  </si>
  <si>
    <t>2.6.4</t>
  </si>
  <si>
    <t>2.7</t>
  </si>
  <si>
    <t>2.7.1</t>
  </si>
  <si>
    <t>Superficie Multicancha</t>
  </si>
  <si>
    <t>Camarines</t>
  </si>
  <si>
    <t>Pintura exterior</t>
  </si>
  <si>
    <t>Pavimento de caucho</t>
  </si>
  <si>
    <t>Pavimento de adocretos</t>
  </si>
  <si>
    <t>3.3</t>
  </si>
  <si>
    <t>Jardin decorativo</t>
  </si>
  <si>
    <t>Adoquin sobre cama de arena</t>
  </si>
  <si>
    <t>3.4</t>
  </si>
  <si>
    <t>Solerilla de confinamiento</t>
  </si>
  <si>
    <t>mt</t>
  </si>
  <si>
    <t>3.5</t>
  </si>
  <si>
    <t>3.6</t>
  </si>
  <si>
    <t>3.1.1</t>
  </si>
  <si>
    <t>3.1.2</t>
  </si>
  <si>
    <t>Relleno compactado e=10cms</t>
  </si>
  <si>
    <t>3.1.3</t>
  </si>
  <si>
    <t xml:space="preserve">Polietileno  </t>
  </si>
  <si>
    <t>3.1.4</t>
  </si>
  <si>
    <t>3.1.5</t>
  </si>
  <si>
    <t>Malla electrosoldada</t>
  </si>
  <si>
    <t>3.1.6</t>
  </si>
  <si>
    <t>Hormigón G25 e=6cms</t>
  </si>
  <si>
    <t>3.1.7</t>
  </si>
  <si>
    <t>3.7</t>
  </si>
  <si>
    <t>Superficie de arena e=12cms</t>
  </si>
  <si>
    <t>Excavación e=15 cms</t>
  </si>
  <si>
    <t>Material de relleno  e=8 cms</t>
  </si>
  <si>
    <t>Excavación e=25cms</t>
  </si>
  <si>
    <t>Tenso estructura - 2 velas 4 puntas</t>
  </si>
  <si>
    <t>Tenso estructura - vela 10x5</t>
  </si>
  <si>
    <t xml:space="preserve">Cierre perimetral </t>
  </si>
  <si>
    <t>Proyecto electrico de multicancha</t>
  </si>
  <si>
    <t>2.7.2</t>
  </si>
  <si>
    <t>Gestión con CGE - movimiento del tendido electrico</t>
  </si>
  <si>
    <t>Iluminación de tensoestructura</t>
  </si>
  <si>
    <t>Revestimientos superior y envolvente</t>
  </si>
  <si>
    <t xml:space="preserve">MEJORAMIENTO DE MULTICANCHA Y ESPACIO PUBLICO KAMAC MAYU PONIENTE DE CALAMA </t>
  </si>
  <si>
    <t>PASAJE ZAPARELI CON TOCORPURI</t>
  </si>
  <si>
    <t>Equipamiento deportivo</t>
  </si>
  <si>
    <t>Arcos de baby futbol</t>
  </si>
  <si>
    <t>par</t>
  </si>
  <si>
    <t>Implemento deportivo voleibol</t>
  </si>
  <si>
    <t>Pad de protección</t>
  </si>
  <si>
    <t>Equipamiento espacio publico</t>
  </si>
  <si>
    <t xml:space="preserve">Columpio </t>
  </si>
  <si>
    <t>Carrusel metalico</t>
  </si>
  <si>
    <t xml:space="preserve">Resorte elefante </t>
  </si>
  <si>
    <t>Juego modular</t>
  </si>
  <si>
    <t>Balancin metalico doble</t>
  </si>
  <si>
    <t>Tobogan doble</t>
  </si>
  <si>
    <t>Tobogan eldrax</t>
  </si>
  <si>
    <t>Escaños</t>
  </si>
  <si>
    <t>Basureros</t>
  </si>
  <si>
    <t>3.8</t>
  </si>
  <si>
    <t>4.0</t>
  </si>
  <si>
    <t>4.1</t>
  </si>
  <si>
    <t>4.2</t>
  </si>
  <si>
    <t>4.3</t>
  </si>
  <si>
    <t>5.0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</si>
  <si>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</si>
  <si>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</si>
  <si>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</si>
  <si>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</si>
  <si>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</si>
  <si>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</si>
  <si>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</si>
  <si>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</si>
  <si>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</si>
  <si>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PRESUPUESTO OBRAS CIVILES ANEXO N°03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</si>
</sst>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 &quot;$&quot;* #,##0_ ;_ &quot;$&quot;* \-#,##0_ ;_ &quot;$&quot;* &quot;-&quot;_ ;_ @_ "/>
    <numFmt numFmtId="165" formatCode="_-&quot;$&quot;\ * #,##0.00_-;\-&quot;$&quot;\ * #,##0.00_-;_-&quot;$&quot;\ * &quot;-&quot;??_-;_-@_-"/>
    <numFmt numFmtId="166" formatCode="_-* #,##0_-;\-* #,##0_-;_-* &quot;-&quot;??_-;_-@_-"/>
    <numFmt numFmtId="167" formatCode="_-&quot;$&quot;\ * #,##0_-;\-&quot;$&quot;\ * #,##0_-;_-&quot;$&quot;\ * &quot;-&quot;??_-;_-@_-"/>
    <numFmt numFmtId="168" formatCode="_-* #,##0.00\ &quot;€&quot;_-;\-* #,##0.00\ &quot;€&quot;_-;_-* &quot;-&quot;??\ &quot;€&quot;_-;_-@_-"/>
    <numFmt numFmtId="169" formatCode="_-* #,##0\ &quot;Pts&quot;_-;\-* #,##0\ &quot;Pts&quot;_-;_-* &quot;-&quot;\ &quot;Pts&quot;_-;_-@_-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11"/>
      <name val="Century Gothic"/>
      <family val="2"/>
    </font>
    <font>
      <sz val="9"/>
      <name val="Century Gothic"/>
      <family val="2"/>
    </font>
    <font>
      <b/>
      <sz val="9"/>
      <name val="Century Gothic"/>
      <family val="2"/>
    </font>
    <font>
      <sz val="10"/>
      <name val="Arial"/>
      <family val="2"/>
    </font>
    <font>
      <b/>
      <sz val="8"/>
      <name val="Century Gothic"/>
      <family val="2"/>
    </font>
    <font>
      <b/>
      <sz val="12"/>
      <name val="Century Gothic"/>
      <family val="2"/>
    </font>
    <font>
      <b/>
      <sz val="14"/>
      <name val="Century Gothic"/>
      <family val="2"/>
    </font>
    <font>
      <b/>
      <sz val="10"/>
      <name val="Century Gothic"/>
      <family val="2"/>
    </font>
    <font>
      <i/>
      <sz val="10"/>
      <name val="Century Gothic"/>
      <family val="2"/>
    </font>
    <font>
      <b/>
      <sz val="18"/>
      <name val="Century Gothic"/>
      <family val="2"/>
    </font>
    <font>
      <b/>
      <sz val="10"/>
      <color rgb="FFFF0000"/>
      <name val="Century Gothic"/>
      <family val="2"/>
    </font>
    <font>
      <b/>
      <sz val="12"/>
      <color rgb="FFFF0000"/>
      <name val="Century Gothic"/>
      <family val="2"/>
    </font>
    <font>
      <sz val="8"/>
      <color theme="0"/>
      <name val="Century Gothic"/>
      <family val="2"/>
    </font>
    <font>
      <sz val="10"/>
      <color theme="0"/>
      <name val="Century Gothic"/>
      <family val="2"/>
    </font>
    <font>
      <b/>
      <sz val="11"/>
      <name val="Calibri"/>
      <family val="2"/>
      <scheme val="minor"/>
    </font>
    <font>
      <b/>
      <i/>
      <sz val="36"/>
      <name val="Century Gothic"/>
      <family val="2"/>
    </font>
    <font>
      <sz val="10"/>
      <color rgb="FFFF0000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168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4" fillId="0" borderId="0"/>
    <xf numFmtId="164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9" fontId="5" fillId="0" borderId="0" applyFont="0" applyFill="0" applyBorder="0" applyAlignment="0" applyProtection="0"/>
  </cellStyleXfs>
  <cellXfs count="127">
    <xf numFmtId="0" fontId="0" fillId="0" borderId="0" xfId="0"/>
    <xf numFmtId="0" fontId="10" fillId="0" borderId="0" xfId="0" applyFont="1"/>
    <xf numFmtId="0" fontId="5" fillId="0" borderId="0" xfId="0" applyFont="1"/>
    <xf numFmtId="0" fontId="7" fillId="0" borderId="0" xfId="0" applyFont="1" applyProtection="1">
      <protection locked="0"/>
    </xf>
    <xf numFmtId="0" fontId="8" fillId="0" borderId="0" xfId="0" applyFont="1" applyAlignment="1" applyProtection="1">
      <alignment vertical="center" wrapText="1"/>
      <protection locked="0"/>
    </xf>
    <xf numFmtId="0" fontId="6" fillId="0" borderId="0" xfId="0" applyFont="1" applyProtection="1">
      <protection locked="0"/>
    </xf>
    <xf numFmtId="0" fontId="14" fillId="0" borderId="20" xfId="0" applyFont="1" applyBorder="1" applyAlignment="1" applyProtection="1">
      <alignment horizontal="center" vertical="center" wrapText="1"/>
      <protection locked="0"/>
    </xf>
    <xf numFmtId="0" fontId="14" fillId="0" borderId="17" xfId="0" applyFont="1" applyBorder="1" applyAlignment="1" applyProtection="1">
      <alignment horizontal="center" vertical="center" wrapText="1"/>
      <protection locked="0"/>
    </xf>
    <xf numFmtId="166" fontId="14" fillId="0" borderId="17" xfId="2" applyNumberFormat="1" applyFont="1" applyFill="1" applyBorder="1" applyAlignment="1" applyProtection="1">
      <alignment horizontal="center" vertical="center" wrapText="1"/>
      <protection locked="0"/>
    </xf>
    <xf numFmtId="3" fontId="14" fillId="0" borderId="17" xfId="0" applyNumberFormat="1" applyFont="1" applyBorder="1" applyAlignment="1" applyProtection="1">
      <alignment horizontal="right" vertical="center" wrapText="1" indent="1"/>
      <protection locked="0"/>
    </xf>
    <xf numFmtId="0" fontId="8" fillId="0" borderId="0" xfId="0" applyFont="1" applyAlignment="1" applyProtection="1">
      <alignment horizontal="left" vertical="center" wrapText="1"/>
      <protection locked="0"/>
    </xf>
    <xf numFmtId="0" fontId="14" fillId="0" borderId="9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/>
      <protection locked="0"/>
    </xf>
    <xf numFmtId="166" fontId="6" fillId="0" borderId="0" xfId="2" applyNumberFormat="1" applyFont="1" applyFill="1" applyProtection="1">
      <protection locked="0"/>
    </xf>
    <xf numFmtId="9" fontId="14" fillId="0" borderId="25" xfId="0" applyNumberFormat="1" applyFont="1" applyBorder="1" applyAlignment="1" applyProtection="1">
      <alignment horizontal="right" vertical="top" indent="1"/>
      <protection locked="0"/>
    </xf>
    <xf numFmtId="0" fontId="18" fillId="0" borderId="0" xfId="0" applyFont="1" applyAlignment="1" applyProtection="1">
      <alignment horizontal="right" vertical="top"/>
      <protection locked="0"/>
    </xf>
    <xf numFmtId="0" fontId="15" fillId="0" borderId="0" xfId="0" applyFont="1" applyProtection="1">
      <protection locked="0"/>
    </xf>
    <xf numFmtId="0" fontId="14" fillId="0" borderId="0" xfId="0" applyFont="1" applyProtection="1">
      <protection locked="0"/>
    </xf>
    <xf numFmtId="3" fontId="6" fillId="0" borderId="0" xfId="0" applyNumberFormat="1" applyFont="1" applyProtection="1">
      <protection locked="0"/>
    </xf>
    <xf numFmtId="2" fontId="20" fillId="0" borderId="0" xfId="0" applyNumberFormat="1" applyFont="1"/>
    <xf numFmtId="167" fontId="20" fillId="0" borderId="0" xfId="3" applyNumberFormat="1" applyFont="1" applyFill="1" applyBorder="1" applyProtection="1"/>
    <xf numFmtId="0" fontId="20" fillId="0" borderId="0" xfId="0" applyFont="1" applyProtection="1">
      <protection locked="0"/>
    </xf>
    <xf numFmtId="10" fontId="6" fillId="0" borderId="0" xfId="0" applyNumberFormat="1" applyFont="1" applyProtection="1">
      <protection locked="0"/>
    </xf>
    <xf numFmtId="0" fontId="20" fillId="0" borderId="0" xfId="0" applyFont="1" applyAlignment="1" applyProtection="1">
      <alignment horizontal="right"/>
      <protection locked="0"/>
    </xf>
    <xf numFmtId="167" fontId="20" fillId="0" borderId="0" xfId="0" applyNumberFormat="1" applyFont="1"/>
    <xf numFmtId="166" fontId="6" fillId="0" borderId="0" xfId="2" applyNumberFormat="1" applyFont="1" applyFill="1" applyBorder="1" applyProtection="1">
      <protection locked="0"/>
    </xf>
    <xf numFmtId="167" fontId="6" fillId="0" borderId="0" xfId="3" applyNumberFormat="1" applyFont="1" applyFill="1" applyBorder="1" applyAlignment="1" applyProtection="1">
      <alignment vertical="center"/>
      <protection locked="0"/>
    </xf>
    <xf numFmtId="167" fontId="17" fillId="0" borderId="0" xfId="3" applyNumberFormat="1" applyFont="1" applyFill="1" applyBorder="1" applyAlignment="1" applyProtection="1">
      <alignment horizontal="right"/>
      <protection locked="0"/>
    </xf>
    <xf numFmtId="166" fontId="14" fillId="4" borderId="17" xfId="2" applyNumberFormat="1" applyFont="1" applyFill="1" applyBorder="1" applyAlignment="1" applyProtection="1">
      <alignment horizontal="center" vertical="center" wrapText="1"/>
      <protection locked="0"/>
    </xf>
    <xf numFmtId="3" fontId="14" fillId="4" borderId="17" xfId="0" applyNumberFormat="1" applyFont="1" applyFill="1" applyBorder="1" applyAlignment="1" applyProtection="1">
      <alignment horizontal="right" vertical="center" wrapText="1" indent="1"/>
      <protection locked="0"/>
    </xf>
    <xf numFmtId="0" fontId="14" fillId="4" borderId="17" xfId="0" applyFont="1" applyFill="1" applyBorder="1" applyAlignment="1" applyProtection="1">
      <alignment horizontal="center" vertical="center" wrapText="1"/>
      <protection locked="0"/>
    </xf>
    <xf numFmtId="3" fontId="14" fillId="0" borderId="8" xfId="0" applyNumberFormat="1" applyFont="1" applyBorder="1" applyProtection="1">
      <protection locked="0"/>
    </xf>
    <xf numFmtId="0" fontId="6" fillId="5" borderId="0" xfId="0" applyFont="1" applyFill="1" applyProtection="1">
      <protection locked="0"/>
    </xf>
    <xf numFmtId="0" fontId="6" fillId="3" borderId="0" xfId="0" applyFont="1" applyFill="1" applyProtection="1">
      <protection locked="0"/>
    </xf>
    <xf numFmtId="0" fontId="8" fillId="3" borderId="0" xfId="0" applyFont="1" applyFill="1" applyAlignment="1" applyProtection="1">
      <alignment horizontal="left" vertical="center" wrapText="1"/>
      <protection locked="0"/>
    </xf>
    <xf numFmtId="3" fontId="6" fillId="3" borderId="0" xfId="0" applyNumberFormat="1" applyFont="1" applyFill="1" applyProtection="1">
      <protection locked="0"/>
    </xf>
    <xf numFmtId="0" fontId="14" fillId="3" borderId="17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/>
      <protection locked="0"/>
    </xf>
    <xf numFmtId="0" fontId="6" fillId="0" borderId="3" xfId="0" applyFont="1" applyBorder="1" applyProtection="1">
      <protection locked="0"/>
    </xf>
    <xf numFmtId="0" fontId="14" fillId="4" borderId="9" xfId="0" applyFont="1" applyFill="1" applyBorder="1" applyAlignment="1" applyProtection="1">
      <alignment vertical="center" wrapText="1"/>
      <protection locked="0"/>
    </xf>
    <xf numFmtId="166" fontId="14" fillId="4" borderId="9" xfId="2" applyNumberFormat="1" applyFont="1" applyFill="1" applyBorder="1" applyAlignment="1" applyProtection="1">
      <alignment horizontal="center" vertical="center" wrapText="1"/>
      <protection locked="0"/>
    </xf>
    <xf numFmtId="166" fontId="14" fillId="0" borderId="9" xfId="2" applyNumberFormat="1" applyFont="1" applyFill="1" applyBorder="1" applyAlignment="1" applyProtection="1">
      <alignment horizontal="center" vertical="center" wrapText="1"/>
      <protection locked="0"/>
    </xf>
    <xf numFmtId="3" fontId="14" fillId="0" borderId="9" xfId="0" applyNumberFormat="1" applyFont="1" applyBorder="1" applyAlignment="1" applyProtection="1">
      <alignment horizontal="right" vertical="center" wrapText="1" indent="1"/>
      <protection locked="0"/>
    </xf>
    <xf numFmtId="3" fontId="14" fillId="4" borderId="9" xfId="0" applyNumberFormat="1" applyFont="1" applyFill="1" applyBorder="1" applyAlignment="1" applyProtection="1">
      <alignment horizontal="right" vertical="center" wrapText="1" indent="1"/>
      <protection locked="0"/>
    </xf>
    <xf numFmtId="0" fontId="14" fillId="0" borderId="32" xfId="0" applyFont="1" applyBorder="1" applyAlignment="1" applyProtection="1">
      <alignment horizontal="center" vertical="center" wrapText="1"/>
      <protection locked="0"/>
    </xf>
    <xf numFmtId="0" fontId="14" fillId="0" borderId="8" xfId="0" applyFont="1" applyBorder="1" applyAlignment="1" applyProtection="1">
      <alignment horizontal="center" vertical="center" wrapText="1"/>
      <protection locked="0"/>
    </xf>
    <xf numFmtId="166" fontId="11" fillId="0" borderId="8" xfId="2" applyNumberFormat="1" applyFont="1" applyFill="1" applyBorder="1" applyAlignment="1" applyProtection="1">
      <alignment horizontal="center" vertical="center" wrapText="1"/>
      <protection locked="0"/>
    </xf>
    <xf numFmtId="3" fontId="8" fillId="0" borderId="0" xfId="0" applyNumberFormat="1" applyFont="1" applyAlignment="1" applyProtection="1">
      <alignment horizontal="left" vertical="center" wrapText="1"/>
      <protection locked="0"/>
    </xf>
    <xf numFmtId="0" fontId="21" fillId="4" borderId="9" xfId="0" applyFont="1" applyFill="1" applyBorder="1" applyAlignment="1">
      <alignment horizontal="center"/>
    </xf>
    <xf numFmtId="0" fontId="21" fillId="3" borderId="37" xfId="0" applyFont="1" applyFill="1" applyBorder="1" applyAlignment="1">
      <alignment horizontal="center"/>
    </xf>
    <xf numFmtId="0" fontId="14" fillId="3" borderId="38" xfId="0" applyFont="1" applyFill="1" applyBorder="1" applyAlignment="1" applyProtection="1">
      <alignment horizontal="center" vertical="center" wrapText="1"/>
      <protection locked="0"/>
    </xf>
    <xf numFmtId="0" fontId="6" fillId="3" borderId="38" xfId="0" applyFont="1" applyFill="1" applyBorder="1" applyAlignment="1" applyProtection="1">
      <alignment horizontal="left" vertical="center" wrapText="1" indent="1"/>
      <protection locked="0"/>
    </xf>
    <xf numFmtId="0" fontId="14" fillId="0" borderId="38" xfId="0" applyFont="1" applyBorder="1" applyAlignment="1" applyProtection="1">
      <alignment horizontal="center" vertical="center" wrapText="1"/>
      <protection locked="0"/>
    </xf>
    <xf numFmtId="166" fontId="14" fillId="0" borderId="38" xfId="2" applyNumberFormat="1" applyFont="1" applyFill="1" applyBorder="1" applyAlignment="1" applyProtection="1">
      <alignment horizontal="center" vertical="center" wrapText="1"/>
      <protection locked="0"/>
    </xf>
    <xf numFmtId="3" fontId="14" fillId="0" borderId="0" xfId="0" applyNumberFormat="1" applyFont="1" applyAlignment="1" applyProtection="1">
      <alignment horizontal="right" vertical="center" wrapText="1" indent="1"/>
      <protection locked="0"/>
    </xf>
    <xf numFmtId="0" fontId="21" fillId="6" borderId="37" xfId="0" applyFont="1" applyFill="1" applyBorder="1" applyAlignment="1">
      <alignment horizontal="center"/>
    </xf>
    <xf numFmtId="0" fontId="14" fillId="4" borderId="9" xfId="0" applyFont="1" applyFill="1" applyBorder="1" applyAlignment="1" applyProtection="1">
      <alignment horizontal="center" vertical="center" wrapText="1"/>
      <protection locked="0"/>
    </xf>
    <xf numFmtId="3" fontId="14" fillId="6" borderId="34" xfId="0" applyNumberFormat="1" applyFont="1" applyFill="1" applyBorder="1" applyAlignment="1" applyProtection="1">
      <alignment horizontal="right" vertical="center" wrapText="1" indent="1"/>
      <protection locked="0"/>
    </xf>
    <xf numFmtId="0" fontId="14" fillId="6" borderId="25" xfId="0" applyFont="1" applyFill="1" applyBorder="1" applyAlignment="1" applyProtection="1">
      <alignment horizontal="center" vertical="center" wrapText="1"/>
      <protection locked="0"/>
    </xf>
    <xf numFmtId="166" fontId="14" fillId="6" borderId="25" xfId="2" applyNumberFormat="1" applyFont="1" applyFill="1" applyBorder="1" applyAlignment="1" applyProtection="1">
      <alignment horizontal="center" vertical="center" wrapText="1"/>
      <protection locked="0"/>
    </xf>
    <xf numFmtId="166" fontId="14" fillId="3" borderId="9" xfId="2" applyNumberFormat="1" applyFont="1" applyFill="1" applyBorder="1" applyAlignment="1" applyProtection="1">
      <alignment horizontal="center" vertical="center" wrapText="1"/>
      <protection locked="0"/>
    </xf>
    <xf numFmtId="0" fontId="14" fillId="6" borderId="9" xfId="0" applyFont="1" applyFill="1" applyBorder="1" applyAlignment="1" applyProtection="1">
      <alignment horizontal="center" vertical="center" wrapText="1"/>
      <protection locked="0"/>
    </xf>
    <xf numFmtId="166" fontId="14" fillId="6" borderId="9" xfId="2" applyNumberFormat="1" applyFont="1" applyFill="1" applyBorder="1" applyAlignment="1" applyProtection="1">
      <alignment horizontal="center" vertical="center" wrapText="1"/>
      <protection locked="0"/>
    </xf>
    <xf numFmtId="3" fontId="14" fillId="6" borderId="9" xfId="0" applyNumberFormat="1" applyFont="1" applyFill="1" applyBorder="1" applyAlignment="1" applyProtection="1">
      <alignment horizontal="right" vertical="center" wrapText="1" indent="1"/>
      <protection locked="0"/>
    </xf>
    <xf numFmtId="0" fontId="19" fillId="0" borderId="0" xfId="0" applyFont="1" applyAlignment="1" applyProtection="1">
      <alignment horizontal="right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right"/>
      <protection locked="0"/>
    </xf>
    <xf numFmtId="0" fontId="19" fillId="0" borderId="0" xfId="0" applyFont="1" applyAlignment="1" applyProtection="1">
      <alignment horizontal="right"/>
      <protection locked="0"/>
    </xf>
    <xf numFmtId="0" fontId="6" fillId="0" borderId="0" xfId="0" applyFont="1" applyAlignment="1" applyProtection="1">
      <alignment vertical="center"/>
      <protection locked="0"/>
    </xf>
    <xf numFmtId="166" fontId="6" fillId="0" borderId="0" xfId="2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horizontal="left"/>
      <protection locked="0"/>
    </xf>
    <xf numFmtId="0" fontId="23" fillId="0" borderId="0" xfId="0" applyFont="1" applyFill="1" applyProtection="1">
      <protection locked="0"/>
    </xf>
    <xf numFmtId="0" fontId="14" fillId="0" borderId="25" xfId="0" applyFont="1" applyBorder="1" applyAlignment="1" applyProtection="1">
      <alignment horizontal="right" vertical="top" indent="1"/>
      <protection locked="0"/>
    </xf>
    <xf numFmtId="0" fontId="14" fillId="0" borderId="26" xfId="0" applyFont="1" applyBorder="1" applyAlignment="1" applyProtection="1">
      <alignment horizontal="right" vertical="top" indent="1"/>
      <protection locked="0"/>
    </xf>
    <xf numFmtId="0" fontId="14" fillId="0" borderId="24" xfId="0" applyFont="1" applyBorder="1" applyAlignment="1" applyProtection="1">
      <alignment horizontal="right" vertical="top" indent="1"/>
      <protection locked="0"/>
    </xf>
    <xf numFmtId="0" fontId="19" fillId="0" borderId="0" xfId="0" applyFont="1" applyAlignment="1" applyProtection="1">
      <alignment horizontal="right"/>
      <protection locked="0"/>
    </xf>
    <xf numFmtId="0" fontId="12" fillId="0" borderId="13" xfId="0" applyFont="1" applyBorder="1" applyAlignment="1" applyProtection="1">
      <alignment horizontal="right" vertical="top" indent="1"/>
      <protection locked="0"/>
    </xf>
    <xf numFmtId="0" fontId="12" fillId="0" borderId="14" xfId="0" applyFont="1" applyBorder="1" applyAlignment="1" applyProtection="1">
      <alignment horizontal="right" vertical="top" indent="1"/>
      <protection locked="0"/>
    </xf>
    <xf numFmtId="0" fontId="12" fillId="0" borderId="15" xfId="0" applyFont="1" applyBorder="1" applyAlignment="1" applyProtection="1">
      <alignment horizontal="right" vertical="top" indent="1"/>
      <protection locked="0"/>
    </xf>
    <xf numFmtId="0" fontId="6" fillId="6" borderId="9" xfId="0" applyFont="1" applyFill="1" applyBorder="1" applyAlignment="1" applyProtection="1">
      <alignment horizontal="left" vertical="center" wrapText="1" indent="1"/>
      <protection locked="0"/>
    </xf>
    <xf numFmtId="0" fontId="14" fillId="0" borderId="23" xfId="0" applyFont="1" applyBorder="1" applyAlignment="1" applyProtection="1">
      <alignment horizontal="right" vertical="top" indent="1"/>
      <protection locked="0"/>
    </xf>
    <xf numFmtId="0" fontId="14" fillId="0" borderId="21" xfId="0" applyFont="1" applyBorder="1" applyAlignment="1" applyProtection="1">
      <alignment horizontal="right" vertical="top" indent="1"/>
      <protection locked="0"/>
    </xf>
    <xf numFmtId="0" fontId="14" fillId="0" borderId="22" xfId="0" applyFont="1" applyBorder="1" applyAlignment="1" applyProtection="1">
      <alignment horizontal="right" vertical="top" indent="1"/>
      <protection locked="0"/>
    </xf>
    <xf numFmtId="0" fontId="6" fillId="6" borderId="27" xfId="0" applyFont="1" applyFill="1" applyBorder="1" applyAlignment="1" applyProtection="1">
      <alignment horizontal="left" vertical="center" wrapText="1" indent="1"/>
      <protection locked="0"/>
    </xf>
    <xf numFmtId="0" fontId="6" fillId="6" borderId="25" xfId="0" applyFont="1" applyFill="1" applyBorder="1" applyAlignment="1" applyProtection="1">
      <alignment horizontal="left" vertical="center" wrapText="1" indent="1"/>
      <protection locked="0"/>
    </xf>
    <xf numFmtId="0" fontId="6" fillId="3" borderId="27" xfId="0" applyFont="1" applyFill="1" applyBorder="1" applyAlignment="1" applyProtection="1">
      <alignment horizontal="left" vertical="center" wrapText="1" indent="1"/>
      <protection locked="0"/>
    </xf>
    <xf numFmtId="0" fontId="6" fillId="3" borderId="28" xfId="0" applyFont="1" applyFill="1" applyBorder="1" applyAlignment="1" applyProtection="1">
      <alignment horizontal="left" vertical="center" wrapText="1" inden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4" fillId="0" borderId="25" xfId="0" applyFont="1" applyBorder="1" applyAlignment="1" applyProtection="1">
      <alignment horizontal="right" vertical="top" indent="1"/>
      <protection locked="0"/>
    </xf>
    <xf numFmtId="0" fontId="14" fillId="0" borderId="26" xfId="0" applyFont="1" applyBorder="1" applyAlignment="1" applyProtection="1">
      <alignment horizontal="right" vertical="top" indent="1"/>
      <protection locked="0"/>
    </xf>
    <xf numFmtId="0" fontId="14" fillId="0" borderId="24" xfId="0" applyFont="1" applyBorder="1" applyAlignment="1" applyProtection="1">
      <alignment horizontal="right" vertical="top" indent="1"/>
      <protection locked="0"/>
    </xf>
    <xf numFmtId="0" fontId="14" fillId="4" borderId="27" xfId="0" applyFont="1" applyFill="1" applyBorder="1" applyAlignment="1" applyProtection="1">
      <alignment horizontal="left" vertical="center" wrapText="1"/>
      <protection locked="0"/>
    </xf>
    <xf numFmtId="0" fontId="14" fillId="4" borderId="25" xfId="0" applyFont="1" applyFill="1" applyBorder="1" applyAlignment="1" applyProtection="1">
      <alignment horizontal="left" vertical="center" wrapText="1"/>
      <protection locked="0"/>
    </xf>
    <xf numFmtId="0" fontId="14" fillId="4" borderId="9" xfId="0" applyFont="1" applyFill="1" applyBorder="1" applyAlignment="1" applyProtection="1">
      <alignment horizontal="left" vertical="center" wrapText="1"/>
      <protection locked="0"/>
    </xf>
    <xf numFmtId="0" fontId="6" fillId="3" borderId="37" xfId="0" applyFont="1" applyFill="1" applyBorder="1" applyAlignment="1" applyProtection="1">
      <alignment horizontal="left" vertical="center" wrapText="1" indent="1"/>
      <protection locked="0"/>
    </xf>
    <xf numFmtId="0" fontId="6" fillId="3" borderId="34" xfId="0" applyFont="1" applyFill="1" applyBorder="1" applyAlignment="1" applyProtection="1">
      <alignment horizontal="left" vertical="center" wrapText="1" indent="1"/>
      <protection locked="0"/>
    </xf>
    <xf numFmtId="0" fontId="14" fillId="4" borderId="28" xfId="0" applyFont="1" applyFill="1" applyBorder="1" applyAlignment="1" applyProtection="1">
      <alignment horizontal="left" vertical="center" wrapText="1"/>
      <protection locked="0"/>
    </xf>
    <xf numFmtId="0" fontId="7" fillId="4" borderId="1" xfId="0" applyFont="1" applyFill="1" applyBorder="1" applyAlignment="1" applyProtection="1">
      <alignment horizontal="center"/>
      <protection locked="0"/>
    </xf>
    <xf numFmtId="0" fontId="7" fillId="4" borderId="3" xfId="0" applyFont="1" applyFill="1" applyBorder="1" applyAlignment="1" applyProtection="1">
      <alignment horizontal="center"/>
      <protection locked="0"/>
    </xf>
    <xf numFmtId="0" fontId="7" fillId="4" borderId="5" xfId="0" applyFont="1" applyFill="1" applyBorder="1" applyAlignment="1" applyProtection="1">
      <alignment horizontal="center"/>
      <protection locked="0"/>
    </xf>
    <xf numFmtId="0" fontId="13" fillId="4" borderId="30" xfId="0" applyFont="1" applyFill="1" applyBorder="1" applyAlignment="1" applyProtection="1">
      <alignment horizontal="center"/>
      <protection locked="0"/>
    </xf>
    <xf numFmtId="0" fontId="22" fillId="4" borderId="2" xfId="0" applyFont="1" applyFill="1" applyBorder="1" applyAlignment="1" applyProtection="1">
      <alignment horizontal="center" vertical="center"/>
      <protection locked="0"/>
    </xf>
    <xf numFmtId="0" fontId="22" fillId="4" borderId="4" xfId="0" applyFont="1" applyFill="1" applyBorder="1" applyAlignment="1" applyProtection="1">
      <alignment horizontal="center" vertical="center"/>
      <protection locked="0"/>
    </xf>
    <xf numFmtId="0" fontId="22" fillId="4" borderId="7" xfId="0" applyFont="1" applyFill="1" applyBorder="1" applyAlignment="1" applyProtection="1">
      <alignment horizontal="center" vertical="center"/>
      <protection locked="0"/>
    </xf>
    <xf numFmtId="0" fontId="16" fillId="4" borderId="0" xfId="0" applyFont="1" applyFill="1" applyAlignment="1" applyProtection="1">
      <alignment horizontal="center" vertical="center"/>
      <protection locked="0"/>
    </xf>
    <xf numFmtId="0" fontId="7" fillId="4" borderId="6" xfId="0" applyFont="1" applyFill="1" applyBorder="1" applyAlignment="1" applyProtection="1">
      <alignment horizontal="center"/>
      <protection locked="0"/>
    </xf>
    <xf numFmtId="0" fontId="6" fillId="2" borderId="32" xfId="0" applyFont="1" applyFill="1" applyBorder="1" applyAlignment="1" applyProtection="1">
      <alignment horizontal="center"/>
      <protection locked="0"/>
    </xf>
    <xf numFmtId="0" fontId="6" fillId="2" borderId="35" xfId="0" applyFont="1" applyFill="1" applyBorder="1" applyAlignment="1" applyProtection="1">
      <alignment horizontal="center"/>
      <protection locked="0"/>
    </xf>
    <xf numFmtId="0" fontId="6" fillId="2" borderId="36" xfId="0" applyFont="1" applyFill="1" applyBorder="1" applyAlignment="1" applyProtection="1">
      <alignment horizontal="center"/>
      <protection locked="0"/>
    </xf>
    <xf numFmtId="0" fontId="14" fillId="0" borderId="19" xfId="0" applyFont="1" applyBorder="1" applyAlignment="1" applyProtection="1">
      <alignment horizontal="left" vertical="center" wrapText="1" indent="1"/>
      <protection locked="0"/>
    </xf>
    <xf numFmtId="0" fontId="14" fillId="0" borderId="35" xfId="0" applyFont="1" applyBorder="1" applyAlignment="1" applyProtection="1">
      <alignment horizontal="left" vertical="center" wrapText="1" indent="1"/>
      <protection locked="0"/>
    </xf>
    <xf numFmtId="0" fontId="9" fillId="0" borderId="12" xfId="0" applyFont="1" applyBorder="1" applyAlignment="1" applyProtection="1">
      <alignment horizontal="left" vertical="center" wrapText="1"/>
      <protection locked="0"/>
    </xf>
    <xf numFmtId="0" fontId="9" fillId="0" borderId="9" xfId="0" applyFont="1" applyBorder="1" applyAlignment="1" applyProtection="1">
      <alignment horizontal="left" vertical="center" wrapText="1"/>
      <protection locked="0"/>
    </xf>
    <xf numFmtId="0" fontId="9" fillId="0" borderId="9" xfId="0" applyFont="1" applyBorder="1" applyAlignment="1" applyProtection="1">
      <alignment horizontal="left" vertical="center" wrapText="1" indent="1"/>
      <protection locked="0"/>
    </xf>
    <xf numFmtId="0" fontId="9" fillId="0" borderId="18" xfId="0" applyFont="1" applyBorder="1" applyAlignment="1" applyProtection="1">
      <alignment horizontal="left" vertical="center" wrapText="1" indent="1"/>
      <protection locked="0"/>
    </xf>
    <xf numFmtId="0" fontId="9" fillId="0" borderId="27" xfId="0" applyFont="1" applyBorder="1" applyAlignment="1" applyProtection="1">
      <alignment horizontal="left" vertical="center" wrapText="1" indent="1"/>
      <protection locked="0"/>
    </xf>
    <xf numFmtId="0" fontId="9" fillId="0" borderId="25" xfId="0" applyFont="1" applyBorder="1" applyAlignment="1" applyProtection="1">
      <alignment horizontal="left" vertical="center" wrapText="1" indent="1"/>
      <protection locked="0"/>
    </xf>
    <xf numFmtId="0" fontId="9" fillId="0" borderId="26" xfId="0" applyFont="1" applyBorder="1" applyAlignment="1" applyProtection="1">
      <alignment horizontal="left" vertical="center" wrapText="1" indent="1"/>
      <protection locked="0"/>
    </xf>
    <xf numFmtId="0" fontId="9" fillId="0" borderId="10" xfId="0" applyFont="1" applyBorder="1" applyAlignment="1" applyProtection="1">
      <alignment horizontal="left" vertical="center" wrapText="1"/>
      <protection locked="0"/>
    </xf>
    <xf numFmtId="0" fontId="9" fillId="0" borderId="11" xfId="0" applyFont="1" applyBorder="1" applyAlignment="1" applyProtection="1">
      <alignment horizontal="left" vertical="center" wrapText="1"/>
      <protection locked="0"/>
    </xf>
    <xf numFmtId="0" fontId="9" fillId="0" borderId="11" xfId="0" applyFont="1" applyBorder="1" applyAlignment="1" applyProtection="1">
      <alignment horizontal="left" vertical="center" wrapText="1" indent="1"/>
      <protection locked="0"/>
    </xf>
    <xf numFmtId="0" fontId="9" fillId="0" borderId="29" xfId="0" applyFont="1" applyBorder="1" applyAlignment="1" applyProtection="1">
      <alignment horizontal="left" vertical="center" wrapText="1" indent="1"/>
      <protection locked="0"/>
    </xf>
    <xf numFmtId="0" fontId="9" fillId="0" borderId="31" xfId="0" applyFont="1" applyBorder="1" applyAlignment="1" applyProtection="1">
      <alignment horizontal="left" vertical="center" wrapText="1"/>
      <protection locked="0"/>
    </xf>
    <xf numFmtId="0" fontId="9" fillId="0" borderId="16" xfId="0" applyFont="1" applyBorder="1" applyAlignment="1" applyProtection="1">
      <alignment horizontal="left" vertical="center" wrapText="1"/>
      <protection locked="0"/>
    </xf>
    <xf numFmtId="0" fontId="9" fillId="0" borderId="33" xfId="0" applyFont="1" applyBorder="1" applyAlignment="1" applyProtection="1">
      <alignment horizontal="left" vertical="center" wrapText="1" indent="1"/>
      <protection locked="0"/>
    </xf>
    <xf numFmtId="0" fontId="9" fillId="0" borderId="14" xfId="0" applyFont="1" applyBorder="1" applyAlignment="1" applyProtection="1">
      <alignment horizontal="left" vertical="center" wrapText="1" indent="1"/>
      <protection locked="0"/>
    </xf>
    <xf numFmtId="0" fontId="9" fillId="0" borderId="15" xfId="0" applyFont="1" applyBorder="1" applyAlignment="1" applyProtection="1">
      <alignment horizontal="left" vertical="center" wrapText="1" indent="1"/>
      <protection locked="0"/>
    </xf>
  </cellXfs>
  <cellStyles count="18">
    <cellStyle name="Euro" xfId="1"/>
    <cellStyle name="Millares" xfId="2" builtinId="3"/>
    <cellStyle name="Millares 2" xfId="7"/>
    <cellStyle name="Moneda" xfId="3" builtinId="4"/>
    <cellStyle name="Moneda [0] 2" xfId="6"/>
    <cellStyle name="Moneda [0] 3" xfId="11"/>
    <cellStyle name="Moneda [0] 3 2" xfId="13"/>
    <cellStyle name="Moneda [0] 3 3" xfId="17"/>
    <cellStyle name="Moneda [0] 4" xfId="15"/>
    <cellStyle name="Moneda 2" xfId="8"/>
    <cellStyle name="Moneda 3" xfId="9"/>
    <cellStyle name="Moneda 4" xfId="16"/>
    <cellStyle name="Normal" xfId="0" builtinId="0"/>
    <cellStyle name="Normal 2" xfId="4"/>
    <cellStyle name="Normal 3" xfId="5"/>
    <cellStyle name="Normal 4" xfId="10"/>
    <cellStyle name="Normal 4 2" xfId="12"/>
    <cellStyle name="Normal 5" xfId="1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579212</xdr:colOff>
      <xdr:row>3</xdr:row>
      <xdr:rowOff>207348</xdr:rowOff>
    </xdr:to>
    <xdr:pic>
      <xdr:nvPicPr>
        <xdr:cNvPr id="2" name="Imagen 4">
          <a:extLst>
            <a:ext uri="{FF2B5EF4-FFF2-40B4-BE49-F238E27FC236}">
              <a16:creationId xmlns:a16="http://schemas.microsoft.com/office/drawing/2014/main" xmlns="" id="{77D8A137-D48B-4DC8-8FD7-3424333B9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55462" cy="9788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2:I18"/>
  <sheetViews>
    <sheetView workbookViewId="0">
      <selection activeCell="C25" sqref="C25"/>
    </sheetView>
  </sheetViews>
  <sheetFormatPr baseColWidth="10" defaultRowHeight="12.75" x14ac:dyDescent="0.2"/>
  <sheetData>
    <row r="2" spans="1:9" x14ac:dyDescent="0.2">
      <c r="A2" s="2" t="s">
        <v>23</v>
      </c>
      <c r="C2" s="2" t="s">
        <v>23</v>
      </c>
      <c r="E2" s="2" t="s">
        <v>23</v>
      </c>
    </row>
    <row r="3" spans="1:9" x14ac:dyDescent="0.2">
      <c r="A3" s="1" t="s">
        <v>13</v>
      </c>
      <c r="C3" s="1" t="s">
        <v>13</v>
      </c>
      <c r="E3" s="2" t="s">
        <v>34</v>
      </c>
    </row>
    <row r="4" spans="1:9" x14ac:dyDescent="0.2">
      <c r="A4" s="1" t="s">
        <v>14</v>
      </c>
      <c r="C4" s="1" t="s">
        <v>22</v>
      </c>
      <c r="E4" s="2" t="s">
        <v>26</v>
      </c>
    </row>
    <row r="5" spans="1:9" x14ac:dyDescent="0.2">
      <c r="A5" s="1" t="s">
        <v>15</v>
      </c>
      <c r="C5" s="1" t="s">
        <v>15</v>
      </c>
      <c r="E5" s="2" t="s">
        <v>27</v>
      </c>
    </row>
    <row r="6" spans="1:9" x14ac:dyDescent="0.2">
      <c r="A6" s="1" t="s">
        <v>16</v>
      </c>
      <c r="E6" s="2" t="s">
        <v>28</v>
      </c>
    </row>
    <row r="7" spans="1:9" x14ac:dyDescent="0.2">
      <c r="A7" s="1" t="s">
        <v>17</v>
      </c>
      <c r="E7" s="2" t="s">
        <v>29</v>
      </c>
    </row>
    <row r="8" spans="1:9" x14ac:dyDescent="0.2">
      <c r="A8" s="1" t="s">
        <v>18</v>
      </c>
      <c r="E8" s="2" t="s">
        <v>30</v>
      </c>
    </row>
    <row r="9" spans="1:9" x14ac:dyDescent="0.2">
      <c r="A9" s="1" t="s">
        <v>19</v>
      </c>
      <c r="E9" s="2" t="s">
        <v>31</v>
      </c>
    </row>
    <row r="10" spans="1:9" x14ac:dyDescent="0.2">
      <c r="A10" s="1" t="s">
        <v>21</v>
      </c>
      <c r="E10" s="2" t="s">
        <v>32</v>
      </c>
    </row>
    <row r="11" spans="1:9" x14ac:dyDescent="0.2">
      <c r="A11" s="1" t="s">
        <v>20</v>
      </c>
      <c r="E11" s="2" t="s">
        <v>33</v>
      </c>
    </row>
    <row r="13" spans="1:9" x14ac:dyDescent="0.2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">
      <c r="A14" s="2" t="s">
        <v>23</v>
      </c>
    </row>
    <row r="15" spans="1:9" x14ac:dyDescent="0.2">
      <c r="A15" s="2" t="s">
        <v>38</v>
      </c>
    </row>
    <row r="16" spans="1:9" x14ac:dyDescent="0.2">
      <c r="A16" s="2" t="s">
        <v>39</v>
      </c>
    </row>
    <row r="17" spans="1:1" x14ac:dyDescent="0.2">
      <c r="A17" s="2" t="s">
        <v>40</v>
      </c>
    </row>
    <row r="18" spans="1:1" x14ac:dyDescent="0.2">
      <c r="A18" s="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  <pageSetUpPr fitToPage="1"/>
  </sheetPr>
  <dimension ref="A1:BL109"/>
  <sheetViews>
    <sheetView showGridLines="0" tabSelected="1" zoomScale="90" zoomScaleNormal="90" workbookViewId="0">
      <selection activeCell="H96" sqref="B2:H96"/>
    </sheetView>
  </sheetViews>
  <sheetFormatPr baseColWidth="10" defaultColWidth="11.42578125" defaultRowHeight="13.5" x14ac:dyDescent="0.25"/>
  <cols>
    <col min="1" max="1" width="11.42578125" style="5"/>
    <col min="2" max="2" width="7.140625" style="5" customWidth="1"/>
    <col min="3" max="3" width="19.5703125" style="5" customWidth="1"/>
    <col min="4" max="4" width="34.28515625" style="5" customWidth="1"/>
    <col min="5" max="5" width="10.7109375" style="5" customWidth="1"/>
    <col min="6" max="6" width="10.7109375" style="12" customWidth="1"/>
    <col min="7" max="7" width="15.5703125" style="13" customWidth="1"/>
    <col min="8" max="8" width="19.140625" style="5" customWidth="1"/>
    <col min="9" max="10" width="20.42578125" style="5" customWidth="1"/>
    <col min="11" max="11" width="13.28515625" style="5" customWidth="1"/>
    <col min="12" max="12" width="15.42578125" style="5" bestFit="1" customWidth="1"/>
    <col min="13" max="13" width="12.85546875" style="5" bestFit="1" customWidth="1"/>
    <col min="14" max="16384" width="11.42578125" style="5"/>
  </cols>
  <sheetData>
    <row r="1" spans="2:13" ht="14.25" thickBot="1" x14ac:dyDescent="0.3"/>
    <row r="2" spans="2:13" s="3" customFormat="1" ht="29.25" customHeight="1" x14ac:dyDescent="0.3">
      <c r="B2" s="97"/>
      <c r="C2" s="100"/>
      <c r="D2" s="100"/>
      <c r="E2" s="100"/>
      <c r="F2" s="100"/>
      <c r="G2" s="100"/>
      <c r="H2" s="101">
        <v>2026</v>
      </c>
    </row>
    <row r="3" spans="2:13" s="3" customFormat="1" ht="31.5" customHeight="1" x14ac:dyDescent="0.3">
      <c r="B3" s="98"/>
      <c r="C3" s="104" t="s">
        <v>204</v>
      </c>
      <c r="D3" s="104"/>
      <c r="E3" s="104"/>
      <c r="F3" s="104"/>
      <c r="G3" s="104"/>
      <c r="H3" s="102"/>
    </row>
    <row r="4" spans="2:13" s="3" customFormat="1" ht="18" customHeight="1" thickBot="1" x14ac:dyDescent="0.35">
      <c r="B4" s="99"/>
      <c r="C4" s="105"/>
      <c r="D4" s="105"/>
      <c r="E4" s="105"/>
      <c r="F4" s="105"/>
      <c r="G4" s="105"/>
      <c r="H4" s="103"/>
    </row>
    <row r="5" spans="2:13" s="3" customFormat="1" ht="36.75" customHeight="1" x14ac:dyDescent="0.3">
      <c r="B5" s="118" t="s">
        <v>10</v>
      </c>
      <c r="C5" s="119" t="s">
        <v>10</v>
      </c>
      <c r="D5" s="120" t="s">
        <v>172</v>
      </c>
      <c r="E5" s="120"/>
      <c r="F5" s="120"/>
      <c r="G5" s="120"/>
      <c r="H5" s="121"/>
    </row>
    <row r="6" spans="2:13" s="3" customFormat="1" ht="23.1" customHeight="1" x14ac:dyDescent="0.3">
      <c r="B6" s="111" t="s">
        <v>11</v>
      </c>
      <c r="C6" s="112"/>
      <c r="D6" s="113" t="s">
        <v>173</v>
      </c>
      <c r="E6" s="113"/>
      <c r="F6" s="113"/>
      <c r="G6" s="113"/>
      <c r="H6" s="114"/>
      <c r="I6" s="4"/>
      <c r="M6" s="37"/>
    </row>
    <row r="7" spans="2:13" s="3" customFormat="1" ht="23.1" customHeight="1" x14ac:dyDescent="0.3">
      <c r="B7" s="111" t="s">
        <v>12</v>
      </c>
      <c r="C7" s="112"/>
      <c r="D7" s="115" t="s">
        <v>14</v>
      </c>
      <c r="E7" s="116"/>
      <c r="F7" s="116"/>
      <c r="G7" s="116"/>
      <c r="H7" s="117"/>
      <c r="I7" s="4"/>
      <c r="L7" s="65"/>
    </row>
    <row r="8" spans="2:13" s="3" customFormat="1" ht="23.1" customHeight="1" x14ac:dyDescent="0.3">
      <c r="B8" s="111" t="s">
        <v>24</v>
      </c>
      <c r="C8" s="112"/>
      <c r="D8" s="113" t="s">
        <v>26</v>
      </c>
      <c r="E8" s="113"/>
      <c r="F8" s="113"/>
      <c r="G8" s="113"/>
      <c r="H8" s="114"/>
      <c r="I8" s="4"/>
    </row>
    <row r="9" spans="2:13" s="3" customFormat="1" ht="23.1" customHeight="1" x14ac:dyDescent="0.3">
      <c r="B9" s="111" t="s">
        <v>42</v>
      </c>
      <c r="C9" s="112"/>
      <c r="D9" s="115" t="s">
        <v>40</v>
      </c>
      <c r="E9" s="116"/>
      <c r="F9" s="116"/>
      <c r="G9" s="116"/>
      <c r="H9" s="117"/>
      <c r="I9" s="4"/>
    </row>
    <row r="10" spans="2:13" s="3" customFormat="1" ht="23.1" customHeight="1" thickBot="1" x14ac:dyDescent="0.35">
      <c r="B10" s="122" t="s">
        <v>25</v>
      </c>
      <c r="C10" s="123"/>
      <c r="D10" s="124" t="s">
        <v>58</v>
      </c>
      <c r="E10" s="125"/>
      <c r="F10" s="125"/>
      <c r="G10" s="125"/>
      <c r="H10" s="126"/>
      <c r="I10" s="4"/>
    </row>
    <row r="11" spans="2:13" ht="14.25" thickBot="1" x14ac:dyDescent="0.3">
      <c r="B11" s="106"/>
      <c r="C11" s="107"/>
      <c r="D11" s="107"/>
      <c r="E11" s="107"/>
      <c r="F11" s="107"/>
      <c r="G11" s="107"/>
      <c r="H11" s="108"/>
      <c r="I11" s="38"/>
    </row>
    <row r="12" spans="2:13" ht="30" customHeight="1" thickBot="1" x14ac:dyDescent="0.3">
      <c r="B12" s="6" t="s">
        <v>7</v>
      </c>
      <c r="C12" s="109" t="s">
        <v>3</v>
      </c>
      <c r="D12" s="110"/>
      <c r="E12" s="44" t="s">
        <v>4</v>
      </c>
      <c r="F12" s="45" t="s">
        <v>5</v>
      </c>
      <c r="G12" s="46" t="s">
        <v>57</v>
      </c>
      <c r="H12" s="45" t="s">
        <v>6</v>
      </c>
    </row>
    <row r="13" spans="2:13" ht="20.100000000000001" customHeight="1" x14ac:dyDescent="0.25">
      <c r="B13" s="48">
        <v>1</v>
      </c>
      <c r="C13" s="93" t="s">
        <v>43</v>
      </c>
      <c r="D13" s="93"/>
      <c r="E13" s="39"/>
      <c r="F13" s="39"/>
      <c r="G13" s="40"/>
      <c r="H13" s="43"/>
      <c r="I13" s="35"/>
      <c r="J13" s="10"/>
    </row>
    <row r="14" spans="2:13" ht="20.100000000000001" customHeight="1" x14ac:dyDescent="0.25">
      <c r="B14" s="49" t="s">
        <v>44</v>
      </c>
      <c r="C14" s="94" t="s">
        <v>45</v>
      </c>
      <c r="D14" s="95" t="s">
        <v>45</v>
      </c>
      <c r="E14" s="7" t="s">
        <v>46</v>
      </c>
      <c r="F14" s="7">
        <v>5</v>
      </c>
      <c r="G14" s="8"/>
      <c r="H14" s="9"/>
      <c r="I14" s="33"/>
      <c r="J14" s="10"/>
    </row>
    <row r="15" spans="2:13" ht="20.100000000000001" customHeight="1" x14ac:dyDescent="0.25">
      <c r="B15" s="49" t="s">
        <v>47</v>
      </c>
      <c r="C15" s="94" t="s">
        <v>48</v>
      </c>
      <c r="D15" s="95"/>
      <c r="E15" s="7" t="s">
        <v>46</v>
      </c>
      <c r="F15" s="7">
        <v>5</v>
      </c>
      <c r="G15" s="8"/>
      <c r="H15" s="9"/>
      <c r="I15" s="33"/>
      <c r="J15" s="10"/>
    </row>
    <row r="16" spans="2:13" ht="20.100000000000001" customHeight="1" x14ac:dyDescent="0.25">
      <c r="B16" s="49" t="s">
        <v>49</v>
      </c>
      <c r="C16" s="85" t="s">
        <v>61</v>
      </c>
      <c r="D16" s="86" t="s">
        <v>48</v>
      </c>
      <c r="E16" s="36" t="s">
        <v>1</v>
      </c>
      <c r="F16" s="7">
        <v>145</v>
      </c>
      <c r="G16" s="8"/>
      <c r="H16" s="9"/>
      <c r="I16" s="33"/>
      <c r="J16" s="10"/>
    </row>
    <row r="17" spans="2:10" ht="20.100000000000001" customHeight="1" x14ac:dyDescent="0.25">
      <c r="B17" s="49" t="s">
        <v>51</v>
      </c>
      <c r="C17" s="85" t="s">
        <v>52</v>
      </c>
      <c r="D17" s="86" t="s">
        <v>52</v>
      </c>
      <c r="E17" s="7" t="s">
        <v>60</v>
      </c>
      <c r="F17" s="7">
        <v>1</v>
      </c>
      <c r="G17" s="8"/>
      <c r="H17" s="9"/>
      <c r="I17" s="33"/>
      <c r="J17" s="10"/>
    </row>
    <row r="18" spans="2:10" ht="20.100000000000001" customHeight="1" x14ac:dyDescent="0.25">
      <c r="B18" s="49" t="s">
        <v>53</v>
      </c>
      <c r="C18" s="85" t="s">
        <v>54</v>
      </c>
      <c r="D18" s="86" t="s">
        <v>54</v>
      </c>
      <c r="E18" s="7" t="s">
        <v>60</v>
      </c>
      <c r="F18" s="7">
        <v>1</v>
      </c>
      <c r="G18" s="8"/>
      <c r="H18" s="9"/>
      <c r="I18" s="33"/>
      <c r="J18" s="10"/>
    </row>
    <row r="19" spans="2:10" ht="20.100000000000001" customHeight="1" x14ac:dyDescent="0.25">
      <c r="B19" s="49" t="s">
        <v>67</v>
      </c>
      <c r="C19" s="85" t="s">
        <v>50</v>
      </c>
      <c r="D19" s="86" t="s">
        <v>50</v>
      </c>
      <c r="E19" s="7" t="s">
        <v>60</v>
      </c>
      <c r="F19" s="7">
        <v>1</v>
      </c>
      <c r="G19" s="8"/>
      <c r="H19" s="9"/>
      <c r="I19" s="33"/>
      <c r="J19" s="10"/>
    </row>
    <row r="20" spans="2:10" ht="20.100000000000001" customHeight="1" x14ac:dyDescent="0.25">
      <c r="B20" s="49" t="s">
        <v>68</v>
      </c>
      <c r="C20" s="85" t="s">
        <v>62</v>
      </c>
      <c r="D20" s="86"/>
      <c r="E20" s="11" t="s">
        <v>46</v>
      </c>
      <c r="F20" s="11">
        <v>5</v>
      </c>
      <c r="G20" s="41"/>
      <c r="H20" s="42"/>
      <c r="I20" s="33"/>
      <c r="J20" s="10"/>
    </row>
    <row r="21" spans="2:10" ht="20.100000000000001" customHeight="1" x14ac:dyDescent="0.25">
      <c r="B21" s="49" t="s">
        <v>69</v>
      </c>
      <c r="C21" s="85" t="s">
        <v>80</v>
      </c>
      <c r="D21" s="86"/>
      <c r="E21" s="11" t="s">
        <v>59</v>
      </c>
      <c r="F21" s="11">
        <v>5</v>
      </c>
      <c r="G21" s="41"/>
      <c r="H21" s="42"/>
      <c r="I21" s="35"/>
      <c r="J21" s="47"/>
    </row>
    <row r="22" spans="2:10" ht="20.100000000000001" customHeight="1" x14ac:dyDescent="0.25">
      <c r="B22" s="49" t="s">
        <v>112</v>
      </c>
      <c r="C22" s="85" t="s">
        <v>65</v>
      </c>
      <c r="D22" s="86"/>
      <c r="E22" s="11" t="s">
        <v>60</v>
      </c>
      <c r="F22" s="11">
        <v>1</v>
      </c>
      <c r="G22" s="41"/>
      <c r="H22" s="9"/>
      <c r="I22" s="35"/>
      <c r="J22" s="47"/>
    </row>
    <row r="23" spans="2:10" ht="20.100000000000001" customHeight="1" x14ac:dyDescent="0.25">
      <c r="B23" s="56">
        <v>2</v>
      </c>
      <c r="C23" s="91" t="s">
        <v>123</v>
      </c>
      <c r="D23" s="96"/>
      <c r="E23" s="30"/>
      <c r="F23" s="30"/>
      <c r="G23" s="28"/>
      <c r="H23" s="29"/>
      <c r="I23" s="35"/>
      <c r="J23" s="18"/>
    </row>
    <row r="24" spans="2:10" ht="20.100000000000001" customHeight="1" x14ac:dyDescent="0.25">
      <c r="B24" s="55" t="s">
        <v>56</v>
      </c>
      <c r="C24" s="83" t="s">
        <v>121</v>
      </c>
      <c r="D24" s="84"/>
      <c r="E24" s="58"/>
      <c r="F24" s="58"/>
      <c r="G24" s="59"/>
      <c r="H24" s="57"/>
      <c r="I24" s="35"/>
      <c r="J24" s="47"/>
    </row>
    <row r="25" spans="2:10" ht="20.100000000000001" customHeight="1" x14ac:dyDescent="0.25">
      <c r="B25" s="49" t="s">
        <v>70</v>
      </c>
      <c r="C25" s="85" t="s">
        <v>114</v>
      </c>
      <c r="D25" s="86"/>
      <c r="E25" s="11" t="s">
        <v>59</v>
      </c>
      <c r="F25" s="11">
        <v>16.8</v>
      </c>
      <c r="G25" s="41"/>
      <c r="H25" s="9"/>
      <c r="I25" s="35"/>
      <c r="J25" s="47"/>
    </row>
    <row r="26" spans="2:10" ht="20.100000000000001" customHeight="1" x14ac:dyDescent="0.25">
      <c r="B26" s="49" t="s">
        <v>71</v>
      </c>
      <c r="C26" s="85" t="s">
        <v>79</v>
      </c>
      <c r="D26" s="86"/>
      <c r="E26" s="11" t="s">
        <v>59</v>
      </c>
      <c r="F26" s="11">
        <v>3.4</v>
      </c>
      <c r="G26" s="41"/>
      <c r="H26" s="9"/>
      <c r="I26" s="35"/>
      <c r="J26" s="47"/>
    </row>
    <row r="27" spans="2:10" ht="20.100000000000001" customHeight="1" x14ac:dyDescent="0.25">
      <c r="B27" s="49" t="s">
        <v>72</v>
      </c>
      <c r="C27" s="85" t="s">
        <v>118</v>
      </c>
      <c r="D27" s="86"/>
      <c r="E27" s="11" t="s">
        <v>0</v>
      </c>
      <c r="F27" s="11">
        <v>67.2</v>
      </c>
      <c r="G27" s="41"/>
      <c r="H27" s="9"/>
      <c r="I27" s="35"/>
      <c r="J27" s="47"/>
    </row>
    <row r="28" spans="2:10" ht="20.100000000000001" customHeight="1" x14ac:dyDescent="0.25">
      <c r="B28" s="49" t="s">
        <v>74</v>
      </c>
      <c r="C28" s="85" t="s">
        <v>119</v>
      </c>
      <c r="D28" s="86"/>
      <c r="E28" s="11" t="s">
        <v>0</v>
      </c>
      <c r="F28" s="11">
        <v>89</v>
      </c>
      <c r="G28" s="41"/>
      <c r="H28" s="9"/>
      <c r="I28" s="35"/>
      <c r="J28" s="47"/>
    </row>
    <row r="29" spans="2:10" ht="20.100000000000001" customHeight="1" x14ac:dyDescent="0.25">
      <c r="B29" s="49" t="s">
        <v>75</v>
      </c>
      <c r="C29" s="85" t="s">
        <v>73</v>
      </c>
      <c r="D29" s="86"/>
      <c r="E29" s="11" t="s">
        <v>59</v>
      </c>
      <c r="F29" s="11">
        <v>1</v>
      </c>
      <c r="G29" s="41"/>
      <c r="H29" s="9"/>
      <c r="I29" s="35"/>
      <c r="J29" s="47"/>
    </row>
    <row r="30" spans="2:10" ht="20.100000000000001" customHeight="1" x14ac:dyDescent="0.25">
      <c r="B30" s="49" t="s">
        <v>98</v>
      </c>
      <c r="C30" s="85" t="s">
        <v>76</v>
      </c>
      <c r="D30" s="86"/>
      <c r="E30" s="11" t="s">
        <v>55</v>
      </c>
      <c r="F30" s="11">
        <v>892</v>
      </c>
      <c r="G30" s="41"/>
      <c r="H30" s="9"/>
      <c r="I30" s="35"/>
      <c r="J30" s="47"/>
    </row>
    <row r="31" spans="2:10" ht="20.100000000000001" customHeight="1" x14ac:dyDescent="0.25">
      <c r="B31" s="49" t="s">
        <v>99</v>
      </c>
      <c r="C31" s="85" t="s">
        <v>63</v>
      </c>
      <c r="D31" s="86"/>
      <c r="E31" s="11" t="s">
        <v>59</v>
      </c>
      <c r="F31" s="11">
        <v>17</v>
      </c>
      <c r="G31" s="41"/>
      <c r="H31" s="9"/>
      <c r="I31" s="35"/>
      <c r="J31" s="47"/>
    </row>
    <row r="32" spans="2:10" ht="20.100000000000001" customHeight="1" x14ac:dyDescent="0.25">
      <c r="B32" s="49" t="s">
        <v>113</v>
      </c>
      <c r="C32" s="85" t="s">
        <v>100</v>
      </c>
      <c r="D32" s="86"/>
      <c r="E32" s="11" t="s">
        <v>55</v>
      </c>
      <c r="F32" s="11">
        <v>161</v>
      </c>
      <c r="G32" s="41"/>
      <c r="H32" s="9"/>
      <c r="I32" s="35"/>
      <c r="J32" s="47"/>
    </row>
    <row r="33" spans="2:10" ht="20.100000000000001" customHeight="1" x14ac:dyDescent="0.25">
      <c r="B33" s="49" t="s">
        <v>117</v>
      </c>
      <c r="C33" s="85" t="s">
        <v>101</v>
      </c>
      <c r="D33" s="86"/>
      <c r="E33" s="11" t="s">
        <v>96</v>
      </c>
      <c r="F33" s="11">
        <v>56</v>
      </c>
      <c r="G33" s="41"/>
      <c r="H33" s="9"/>
      <c r="I33" s="35"/>
      <c r="J33" s="47"/>
    </row>
    <row r="34" spans="2:10" ht="20.100000000000001" customHeight="1" x14ac:dyDescent="0.25">
      <c r="B34" s="55" t="s">
        <v>81</v>
      </c>
      <c r="C34" s="83" t="s">
        <v>122</v>
      </c>
      <c r="D34" s="84"/>
      <c r="E34" s="58"/>
      <c r="F34" s="58"/>
      <c r="G34" s="59"/>
      <c r="H34" s="57"/>
      <c r="I34" s="35"/>
      <c r="J34" s="47"/>
    </row>
    <row r="35" spans="2:10" ht="20.100000000000001" customHeight="1" x14ac:dyDescent="0.25">
      <c r="B35" s="49" t="s">
        <v>83</v>
      </c>
      <c r="C35" s="85" t="s">
        <v>82</v>
      </c>
      <c r="D35" s="86"/>
      <c r="E35" s="7" t="s">
        <v>55</v>
      </c>
      <c r="F35" s="7">
        <v>5620</v>
      </c>
      <c r="G35" s="8"/>
      <c r="H35" s="9"/>
      <c r="I35" s="35"/>
      <c r="J35" s="47"/>
    </row>
    <row r="36" spans="2:10" ht="20.100000000000001" customHeight="1" x14ac:dyDescent="0.25">
      <c r="B36" s="49" t="s">
        <v>93</v>
      </c>
      <c r="C36" s="85" t="s">
        <v>95</v>
      </c>
      <c r="D36" s="86"/>
      <c r="E36" s="7" t="s">
        <v>55</v>
      </c>
      <c r="F36" s="7">
        <v>96</v>
      </c>
      <c r="G36" s="8"/>
      <c r="H36" s="9"/>
      <c r="I36" s="35"/>
      <c r="J36" s="47"/>
    </row>
    <row r="37" spans="2:10" ht="20.100000000000001" customHeight="1" x14ac:dyDescent="0.25">
      <c r="B37" s="49" t="s">
        <v>94</v>
      </c>
      <c r="C37" s="85" t="s">
        <v>92</v>
      </c>
      <c r="D37" s="86"/>
      <c r="E37" s="7" t="s">
        <v>96</v>
      </c>
      <c r="F37" s="7">
        <v>48</v>
      </c>
      <c r="G37" s="8"/>
      <c r="H37" s="9"/>
      <c r="I37" s="35"/>
      <c r="J37" s="47"/>
    </row>
    <row r="38" spans="2:10" ht="20.100000000000001" customHeight="1" x14ac:dyDescent="0.25">
      <c r="B38" s="49" t="s">
        <v>97</v>
      </c>
      <c r="C38" s="85" t="s">
        <v>108</v>
      </c>
      <c r="D38" s="86"/>
      <c r="E38" s="7" t="s">
        <v>0</v>
      </c>
      <c r="F38" s="7">
        <v>46</v>
      </c>
      <c r="G38" s="8"/>
      <c r="H38" s="9"/>
      <c r="I38" s="35"/>
      <c r="J38" s="47"/>
    </row>
    <row r="39" spans="2:10" ht="20.100000000000001" customHeight="1" x14ac:dyDescent="0.25">
      <c r="B39" s="49" t="s">
        <v>110</v>
      </c>
      <c r="C39" s="85" t="s">
        <v>109</v>
      </c>
      <c r="D39" s="86"/>
      <c r="E39" s="7" t="s">
        <v>0</v>
      </c>
      <c r="F39" s="7">
        <v>46</v>
      </c>
      <c r="G39" s="8"/>
      <c r="H39" s="9"/>
      <c r="I39" s="35"/>
      <c r="J39" s="47"/>
    </row>
    <row r="40" spans="2:10" ht="20.100000000000001" customHeight="1" x14ac:dyDescent="0.25">
      <c r="B40" s="55" t="s">
        <v>84</v>
      </c>
      <c r="C40" s="83" t="s">
        <v>171</v>
      </c>
      <c r="D40" s="84"/>
      <c r="E40" s="58"/>
      <c r="F40" s="58"/>
      <c r="G40" s="59"/>
      <c r="H40" s="57"/>
      <c r="I40" s="35"/>
      <c r="J40" s="47"/>
    </row>
    <row r="41" spans="2:10" ht="20.100000000000001" customHeight="1" x14ac:dyDescent="0.25">
      <c r="B41" s="49" t="s">
        <v>85</v>
      </c>
      <c r="C41" s="85" t="s">
        <v>87</v>
      </c>
      <c r="D41" s="86"/>
      <c r="E41" s="11" t="s">
        <v>0</v>
      </c>
      <c r="F41" s="11">
        <v>100</v>
      </c>
      <c r="G41" s="41"/>
      <c r="H41" s="9"/>
      <c r="I41" s="35"/>
      <c r="J41" s="47"/>
    </row>
    <row r="42" spans="2:10" ht="20.100000000000001" customHeight="1" x14ac:dyDescent="0.25">
      <c r="B42" s="49" t="s">
        <v>86</v>
      </c>
      <c r="C42" s="85" t="s">
        <v>88</v>
      </c>
      <c r="D42" s="86"/>
      <c r="E42" s="11" t="s">
        <v>0</v>
      </c>
      <c r="F42" s="11">
        <v>323</v>
      </c>
      <c r="G42" s="41"/>
      <c r="H42" s="9"/>
      <c r="I42" s="35"/>
      <c r="J42" s="47"/>
    </row>
    <row r="43" spans="2:10" ht="20.100000000000001" customHeight="1" x14ac:dyDescent="0.25">
      <c r="B43" s="49" t="s">
        <v>102</v>
      </c>
      <c r="C43" s="85" t="s">
        <v>104</v>
      </c>
      <c r="D43" s="86"/>
      <c r="E43" s="11" t="s">
        <v>0</v>
      </c>
      <c r="F43" s="11">
        <v>450</v>
      </c>
      <c r="G43" s="41"/>
      <c r="H43" s="9"/>
      <c r="I43" s="35"/>
      <c r="J43" s="47"/>
    </row>
    <row r="44" spans="2:10" ht="20.100000000000001" customHeight="1" x14ac:dyDescent="0.25">
      <c r="B44" s="49" t="s">
        <v>103</v>
      </c>
      <c r="C44" s="85" t="s">
        <v>105</v>
      </c>
      <c r="D44" s="86"/>
      <c r="E44" s="11" t="s">
        <v>0</v>
      </c>
      <c r="F44" s="11">
        <v>114</v>
      </c>
      <c r="G44" s="41"/>
      <c r="H44" s="9"/>
      <c r="I44" s="35"/>
      <c r="J44" s="47"/>
    </row>
    <row r="45" spans="2:10" ht="20.100000000000001" customHeight="1" x14ac:dyDescent="0.25">
      <c r="B45" s="55" t="s">
        <v>124</v>
      </c>
      <c r="C45" s="83" t="s">
        <v>135</v>
      </c>
      <c r="D45" s="84"/>
      <c r="E45" s="58"/>
      <c r="F45" s="58"/>
      <c r="G45" s="59"/>
      <c r="H45" s="57"/>
      <c r="I45" s="35"/>
      <c r="J45" s="47"/>
    </row>
    <row r="46" spans="2:10" ht="20.100000000000001" customHeight="1" x14ac:dyDescent="0.25">
      <c r="B46" s="49" t="s">
        <v>126</v>
      </c>
      <c r="C46" s="85" t="s">
        <v>77</v>
      </c>
      <c r="D46" s="86"/>
      <c r="E46" s="11" t="s">
        <v>0</v>
      </c>
      <c r="F46" s="11">
        <v>730</v>
      </c>
      <c r="G46" s="41"/>
      <c r="H46" s="9"/>
      <c r="I46" s="35"/>
      <c r="J46" s="47"/>
    </row>
    <row r="47" spans="2:10" ht="20.100000000000001" customHeight="1" x14ac:dyDescent="0.25">
      <c r="B47" s="55" t="s">
        <v>125</v>
      </c>
      <c r="C47" s="83" t="s">
        <v>136</v>
      </c>
      <c r="D47" s="84"/>
      <c r="E47" s="58"/>
      <c r="F47" s="58"/>
      <c r="G47" s="59"/>
      <c r="H47" s="57"/>
      <c r="I47" s="35"/>
      <c r="J47" s="47"/>
    </row>
    <row r="48" spans="2:10" ht="20.100000000000001" customHeight="1" x14ac:dyDescent="0.25">
      <c r="B48" s="49" t="s">
        <v>127</v>
      </c>
      <c r="C48" s="85" t="s">
        <v>137</v>
      </c>
      <c r="D48" s="86"/>
      <c r="E48" s="11" t="s">
        <v>60</v>
      </c>
      <c r="F48" s="11">
        <v>1</v>
      </c>
      <c r="G48" s="60"/>
      <c r="H48" s="9"/>
      <c r="I48" s="35"/>
      <c r="J48" s="47"/>
    </row>
    <row r="49" spans="1:64" ht="20.100000000000001" customHeight="1" x14ac:dyDescent="0.25">
      <c r="B49" s="55" t="s">
        <v>128</v>
      </c>
      <c r="C49" s="83" t="s">
        <v>166</v>
      </c>
      <c r="D49" s="84"/>
      <c r="E49" s="58"/>
      <c r="F49" s="58"/>
      <c r="G49" s="59"/>
      <c r="H49" s="57"/>
      <c r="I49" s="35"/>
      <c r="J49" s="47"/>
    </row>
    <row r="50" spans="1:64" ht="20.100000000000001" customHeight="1" x14ac:dyDescent="0.25">
      <c r="B50" s="49" t="s">
        <v>129</v>
      </c>
      <c r="C50" s="85" t="s">
        <v>106</v>
      </c>
      <c r="D50" s="86"/>
      <c r="E50" s="7" t="s">
        <v>60</v>
      </c>
      <c r="F50" s="7">
        <v>1</v>
      </c>
      <c r="G50" s="8"/>
      <c r="H50" s="9"/>
      <c r="I50" s="33"/>
    </row>
    <row r="51" spans="1:64" ht="20.100000000000001" customHeight="1" x14ac:dyDescent="0.25">
      <c r="B51" s="49" t="s">
        <v>130</v>
      </c>
      <c r="C51" s="85" t="s">
        <v>107</v>
      </c>
      <c r="D51" s="86"/>
      <c r="E51" s="7" t="s">
        <v>60</v>
      </c>
      <c r="F51" s="7">
        <v>1</v>
      </c>
      <c r="G51" s="8"/>
      <c r="H51" s="9"/>
      <c r="I51" s="33"/>
    </row>
    <row r="52" spans="1:64" ht="20.100000000000001" customHeight="1" x14ac:dyDescent="0.25">
      <c r="B52" s="49" t="s">
        <v>131</v>
      </c>
      <c r="C52" s="85" t="s">
        <v>111</v>
      </c>
      <c r="D52" s="86"/>
      <c r="E52" s="7" t="s">
        <v>60</v>
      </c>
      <c r="F52" s="7">
        <v>1</v>
      </c>
      <c r="G52" s="8"/>
      <c r="H52" s="9"/>
      <c r="I52" s="33"/>
    </row>
    <row r="53" spans="1:64" ht="20.100000000000001" customHeight="1" x14ac:dyDescent="0.25">
      <c r="B53" s="49" t="s">
        <v>132</v>
      </c>
      <c r="C53" s="85" t="s">
        <v>115</v>
      </c>
      <c r="D53" s="86"/>
      <c r="E53" s="11" t="s">
        <v>0</v>
      </c>
      <c r="F53" s="11">
        <v>280</v>
      </c>
      <c r="G53" s="41"/>
      <c r="H53" s="9"/>
      <c r="I53" s="35"/>
      <c r="J53" s="47"/>
    </row>
    <row r="54" spans="1:64" ht="20.100000000000001" customHeight="1" x14ac:dyDescent="0.25">
      <c r="B54" s="55" t="s">
        <v>133</v>
      </c>
      <c r="C54" s="83" t="s">
        <v>167</v>
      </c>
      <c r="D54" s="84"/>
      <c r="E54" s="58"/>
      <c r="F54" s="58"/>
      <c r="G54" s="59"/>
      <c r="H54" s="57"/>
      <c r="I54" s="35"/>
      <c r="J54" s="47"/>
    </row>
    <row r="55" spans="1:64" ht="20.100000000000001" customHeight="1" x14ac:dyDescent="0.25">
      <c r="B55" s="49" t="s">
        <v>134</v>
      </c>
      <c r="C55" s="85" t="s">
        <v>116</v>
      </c>
      <c r="D55" s="86"/>
      <c r="E55" s="7" t="s">
        <v>60</v>
      </c>
      <c r="F55" s="7">
        <v>1</v>
      </c>
      <c r="G55" s="8"/>
      <c r="H55" s="9"/>
      <c r="I55" s="33"/>
    </row>
    <row r="56" spans="1:64" ht="20.100000000000001" customHeight="1" x14ac:dyDescent="0.25">
      <c r="B56" s="49" t="s">
        <v>168</v>
      </c>
      <c r="C56" s="85" t="s">
        <v>169</v>
      </c>
      <c r="D56" s="86"/>
      <c r="E56" s="11" t="s">
        <v>60</v>
      </c>
      <c r="F56" s="11">
        <v>1</v>
      </c>
      <c r="G56" s="41"/>
      <c r="H56" s="9"/>
      <c r="I56" s="35"/>
      <c r="J56" s="47"/>
    </row>
    <row r="57" spans="1:64" s="32" customFormat="1" ht="20.100000000000001" customHeight="1" x14ac:dyDescent="0.25">
      <c r="A57" s="71"/>
      <c r="B57" s="56">
        <v>3</v>
      </c>
      <c r="C57" s="91" t="s">
        <v>120</v>
      </c>
      <c r="D57" s="92"/>
      <c r="E57" s="39"/>
      <c r="F57" s="39"/>
      <c r="G57" s="40"/>
      <c r="H57" s="28"/>
      <c r="I57" s="35"/>
      <c r="J57" s="34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</row>
    <row r="58" spans="1:64" ht="20.100000000000001" customHeight="1" x14ac:dyDescent="0.25">
      <c r="B58" s="55" t="s">
        <v>66</v>
      </c>
      <c r="C58" s="83" t="s">
        <v>138</v>
      </c>
      <c r="D58" s="84"/>
      <c r="E58" s="58"/>
      <c r="F58" s="58"/>
      <c r="G58" s="59"/>
      <c r="H58" s="57"/>
      <c r="I58" s="35"/>
      <c r="J58" s="47"/>
    </row>
    <row r="59" spans="1:64" ht="20.100000000000001" customHeight="1" x14ac:dyDescent="0.25">
      <c r="B59" s="49" t="s">
        <v>148</v>
      </c>
      <c r="C59" s="85" t="s">
        <v>163</v>
      </c>
      <c r="D59" s="86"/>
      <c r="E59" s="7" t="s">
        <v>59</v>
      </c>
      <c r="F59" s="7">
        <v>59</v>
      </c>
      <c r="G59" s="8"/>
      <c r="H59" s="9"/>
      <c r="I59" s="35"/>
      <c r="J59" s="47"/>
    </row>
    <row r="60" spans="1:64" ht="20.100000000000001" customHeight="1" x14ac:dyDescent="0.25">
      <c r="B60" s="49" t="s">
        <v>149</v>
      </c>
      <c r="C60" s="85" t="s">
        <v>150</v>
      </c>
      <c r="D60" s="86"/>
      <c r="E60" s="11" t="s">
        <v>59</v>
      </c>
      <c r="F60" s="11">
        <v>20</v>
      </c>
      <c r="G60" s="41"/>
      <c r="H60" s="9"/>
      <c r="I60" s="35"/>
      <c r="J60" s="47"/>
    </row>
    <row r="61" spans="1:64" ht="20.100000000000001" customHeight="1" x14ac:dyDescent="0.25">
      <c r="B61" s="49" t="s">
        <v>151</v>
      </c>
      <c r="C61" s="85" t="s">
        <v>152</v>
      </c>
      <c r="D61" s="86"/>
      <c r="E61" s="11" t="s">
        <v>0</v>
      </c>
      <c r="F61" s="11">
        <v>200</v>
      </c>
      <c r="G61" s="41"/>
      <c r="H61" s="9"/>
      <c r="I61" s="35"/>
      <c r="J61" s="47"/>
    </row>
    <row r="62" spans="1:64" ht="20.100000000000001" customHeight="1" x14ac:dyDescent="0.25">
      <c r="B62" s="49" t="s">
        <v>153</v>
      </c>
      <c r="C62" s="85" t="s">
        <v>73</v>
      </c>
      <c r="D62" s="86"/>
      <c r="E62" s="11" t="s">
        <v>59</v>
      </c>
      <c r="F62" s="11">
        <v>10</v>
      </c>
      <c r="G62" s="41"/>
      <c r="H62" s="9"/>
      <c r="I62" s="35"/>
      <c r="J62" s="47"/>
    </row>
    <row r="63" spans="1:64" ht="20.100000000000001" customHeight="1" x14ac:dyDescent="0.25">
      <c r="B63" s="49" t="s">
        <v>154</v>
      </c>
      <c r="C63" s="85" t="s">
        <v>155</v>
      </c>
      <c r="D63" s="86"/>
      <c r="E63" s="11" t="s">
        <v>0</v>
      </c>
      <c r="F63" s="11">
        <v>197</v>
      </c>
      <c r="G63" s="41"/>
      <c r="H63" s="9"/>
      <c r="I63" s="35"/>
      <c r="J63" s="47"/>
    </row>
    <row r="64" spans="1:64" ht="20.100000000000001" customHeight="1" x14ac:dyDescent="0.25">
      <c r="B64" s="49" t="s">
        <v>156</v>
      </c>
      <c r="C64" s="85" t="s">
        <v>157</v>
      </c>
      <c r="D64" s="86"/>
      <c r="E64" s="11" t="s">
        <v>59</v>
      </c>
      <c r="F64" s="11">
        <v>12</v>
      </c>
      <c r="G64" s="41"/>
      <c r="H64" s="9"/>
      <c r="I64" s="35"/>
      <c r="J64" s="47"/>
    </row>
    <row r="65" spans="2:18" ht="20.100000000000001" customHeight="1" x14ac:dyDescent="0.25">
      <c r="B65" s="49" t="s">
        <v>158</v>
      </c>
      <c r="C65" s="85" t="s">
        <v>138</v>
      </c>
      <c r="D65" s="86"/>
      <c r="E65" s="11" t="s">
        <v>0</v>
      </c>
      <c r="F65" s="11">
        <v>197</v>
      </c>
      <c r="G65" s="41"/>
      <c r="H65" s="9"/>
      <c r="I65" s="35"/>
      <c r="J65" s="47"/>
    </row>
    <row r="66" spans="2:18" ht="20.100000000000001" customHeight="1" x14ac:dyDescent="0.25">
      <c r="B66" s="55" t="s">
        <v>78</v>
      </c>
      <c r="C66" s="83" t="s">
        <v>139</v>
      </c>
      <c r="D66" s="84"/>
      <c r="E66" s="58"/>
      <c r="F66" s="58"/>
      <c r="G66" s="59"/>
      <c r="H66" s="57"/>
      <c r="I66" s="35"/>
      <c r="J66" s="47"/>
    </row>
    <row r="67" spans="2:18" ht="20.100000000000001" customHeight="1" x14ac:dyDescent="0.25">
      <c r="B67" s="49" t="s">
        <v>89</v>
      </c>
      <c r="C67" s="85" t="s">
        <v>161</v>
      </c>
      <c r="D67" s="86"/>
      <c r="E67" s="11" t="s">
        <v>59</v>
      </c>
      <c r="F67" s="11">
        <v>9</v>
      </c>
      <c r="G67" s="41"/>
      <c r="H67" s="9"/>
      <c r="I67" s="35"/>
      <c r="J67" s="47"/>
    </row>
    <row r="68" spans="2:18" ht="20.100000000000001" customHeight="1" x14ac:dyDescent="0.25">
      <c r="B68" s="49" t="s">
        <v>90</v>
      </c>
      <c r="C68" s="85" t="s">
        <v>162</v>
      </c>
      <c r="D68" s="86"/>
      <c r="E68" s="11" t="s">
        <v>59</v>
      </c>
      <c r="F68" s="11">
        <v>4</v>
      </c>
      <c r="G68" s="41"/>
      <c r="H68" s="9"/>
      <c r="I68" s="35"/>
      <c r="J68" s="47"/>
    </row>
    <row r="69" spans="2:18" ht="20.100000000000001" customHeight="1" x14ac:dyDescent="0.25">
      <c r="B69" s="49" t="s">
        <v>91</v>
      </c>
      <c r="C69" s="85" t="s">
        <v>142</v>
      </c>
      <c r="D69" s="86"/>
      <c r="E69" s="11" t="s">
        <v>0</v>
      </c>
      <c r="F69" s="11">
        <v>51</v>
      </c>
      <c r="G69" s="41"/>
      <c r="H69" s="9"/>
      <c r="I69" s="35"/>
      <c r="J69" s="47"/>
    </row>
    <row r="70" spans="2:18" ht="20.100000000000001" customHeight="1" x14ac:dyDescent="0.25">
      <c r="B70" s="55" t="s">
        <v>140</v>
      </c>
      <c r="C70" s="79" t="s">
        <v>144</v>
      </c>
      <c r="D70" s="79"/>
      <c r="E70" s="61" t="s">
        <v>145</v>
      </c>
      <c r="F70" s="61">
        <v>75</v>
      </c>
      <c r="G70" s="62"/>
      <c r="H70" s="63"/>
      <c r="I70" s="35"/>
      <c r="J70" s="47"/>
    </row>
    <row r="71" spans="2:18" ht="20.100000000000001" customHeight="1" x14ac:dyDescent="0.25">
      <c r="B71" s="55" t="s">
        <v>143</v>
      </c>
      <c r="C71" s="79" t="s">
        <v>160</v>
      </c>
      <c r="D71" s="79"/>
      <c r="E71" s="61" t="s">
        <v>59</v>
      </c>
      <c r="F71" s="61">
        <v>10</v>
      </c>
      <c r="G71" s="62"/>
      <c r="H71" s="63"/>
      <c r="I71" s="35"/>
      <c r="J71" s="47"/>
    </row>
    <row r="72" spans="2:18" ht="20.100000000000001" customHeight="1" x14ac:dyDescent="0.25">
      <c r="B72" s="55" t="s">
        <v>146</v>
      </c>
      <c r="C72" s="79" t="s">
        <v>141</v>
      </c>
      <c r="D72" s="79"/>
      <c r="E72" s="61" t="s">
        <v>0</v>
      </c>
      <c r="F72" s="61">
        <v>30</v>
      </c>
      <c r="G72" s="62"/>
      <c r="H72" s="63"/>
      <c r="I72" s="35"/>
      <c r="J72" s="35"/>
      <c r="K72" s="35"/>
      <c r="L72" s="35"/>
      <c r="M72" s="35"/>
      <c r="N72" s="35"/>
      <c r="O72" s="35"/>
      <c r="P72" s="35"/>
      <c r="Q72" s="35"/>
      <c r="R72" s="35"/>
    </row>
    <row r="73" spans="2:18" ht="20.100000000000001" customHeight="1" x14ac:dyDescent="0.25">
      <c r="B73" s="55" t="s">
        <v>147</v>
      </c>
      <c r="C73" s="79" t="s">
        <v>164</v>
      </c>
      <c r="D73" s="79"/>
      <c r="E73" s="61" t="s">
        <v>64</v>
      </c>
      <c r="F73" s="61">
        <v>1</v>
      </c>
      <c r="G73" s="62"/>
      <c r="H73" s="63"/>
      <c r="I73" s="35"/>
      <c r="J73" s="47"/>
    </row>
    <row r="74" spans="2:18" ht="20.100000000000001" customHeight="1" x14ac:dyDescent="0.25">
      <c r="B74" s="55" t="s">
        <v>159</v>
      </c>
      <c r="C74" s="79" t="s">
        <v>165</v>
      </c>
      <c r="D74" s="79"/>
      <c r="E74" s="61" t="s">
        <v>64</v>
      </c>
      <c r="F74" s="61">
        <v>1</v>
      </c>
      <c r="G74" s="62"/>
      <c r="H74" s="63"/>
      <c r="I74" s="35"/>
      <c r="J74" s="47"/>
    </row>
    <row r="75" spans="2:18" ht="20.100000000000001" customHeight="1" x14ac:dyDescent="0.25">
      <c r="B75" s="55" t="s">
        <v>189</v>
      </c>
      <c r="C75" s="79" t="s">
        <v>170</v>
      </c>
      <c r="D75" s="79"/>
      <c r="E75" s="61" t="s">
        <v>64</v>
      </c>
      <c r="F75" s="61">
        <v>1</v>
      </c>
      <c r="G75" s="62"/>
      <c r="H75" s="57"/>
      <c r="I75" s="35"/>
      <c r="J75" s="47"/>
    </row>
    <row r="76" spans="2:18" ht="20.100000000000001" customHeight="1" x14ac:dyDescent="0.25">
      <c r="B76" s="55" t="s">
        <v>190</v>
      </c>
      <c r="C76" s="83" t="s">
        <v>174</v>
      </c>
      <c r="D76" s="84"/>
      <c r="E76" s="58"/>
      <c r="F76" s="58"/>
      <c r="G76" s="59"/>
      <c r="H76" s="57"/>
      <c r="I76" s="35"/>
      <c r="J76" s="47"/>
    </row>
    <row r="77" spans="2:18" ht="20.100000000000001" customHeight="1" x14ac:dyDescent="0.25">
      <c r="B77" s="55" t="s">
        <v>191</v>
      </c>
      <c r="C77" s="85" t="s">
        <v>175</v>
      </c>
      <c r="D77" s="86"/>
      <c r="E77" s="11" t="s">
        <v>176</v>
      </c>
      <c r="F77" s="11">
        <v>1</v>
      </c>
      <c r="G77" s="60"/>
      <c r="H77" s="9"/>
      <c r="I77" s="33"/>
    </row>
    <row r="78" spans="2:18" ht="14.25" customHeight="1" x14ac:dyDescent="0.25">
      <c r="B78" s="55" t="s">
        <v>192</v>
      </c>
      <c r="C78" s="85" t="s">
        <v>177</v>
      </c>
      <c r="D78" s="86"/>
      <c r="E78" s="7" t="s">
        <v>60</v>
      </c>
      <c r="F78" s="7">
        <v>1</v>
      </c>
      <c r="G78" s="8"/>
      <c r="H78" s="9"/>
      <c r="I78" s="18"/>
    </row>
    <row r="79" spans="2:18" ht="14.25" customHeight="1" x14ac:dyDescent="0.25">
      <c r="B79" s="55" t="s">
        <v>193</v>
      </c>
      <c r="C79" s="85" t="s">
        <v>178</v>
      </c>
      <c r="D79" s="86"/>
      <c r="E79" s="7" t="s">
        <v>60</v>
      </c>
      <c r="F79" s="7">
        <v>1</v>
      </c>
      <c r="G79" s="8"/>
      <c r="H79" s="9"/>
    </row>
    <row r="80" spans="2:18" ht="14.25" customHeight="1" x14ac:dyDescent="0.25">
      <c r="B80" s="55" t="s">
        <v>194</v>
      </c>
      <c r="C80" s="83" t="s">
        <v>179</v>
      </c>
      <c r="D80" s="84"/>
      <c r="E80" s="58"/>
      <c r="F80" s="58"/>
      <c r="G80" s="59"/>
      <c r="H80" s="57"/>
    </row>
    <row r="81" spans="2:13" ht="14.25" customHeight="1" x14ac:dyDescent="0.25">
      <c r="B81" s="55" t="s">
        <v>195</v>
      </c>
      <c r="C81" s="85" t="s">
        <v>180</v>
      </c>
      <c r="D81" s="86"/>
      <c r="E81" s="11" t="s">
        <v>64</v>
      </c>
      <c r="F81" s="11">
        <v>2</v>
      </c>
      <c r="G81" s="41"/>
      <c r="H81" s="9"/>
    </row>
    <row r="82" spans="2:13" ht="14.25" customHeight="1" x14ac:dyDescent="0.3">
      <c r="B82" s="55" t="s">
        <v>196</v>
      </c>
      <c r="C82" s="85" t="s">
        <v>181</v>
      </c>
      <c r="D82" s="86"/>
      <c r="E82" s="11" t="s">
        <v>64</v>
      </c>
      <c r="F82" s="11">
        <v>2</v>
      </c>
      <c r="G82" s="41"/>
      <c r="H82" s="9"/>
      <c r="K82" s="75"/>
      <c r="L82" s="75"/>
      <c r="M82" s="19"/>
    </row>
    <row r="83" spans="2:13" ht="16.5" customHeight="1" x14ac:dyDescent="0.3">
      <c r="B83" s="55" t="s">
        <v>197</v>
      </c>
      <c r="C83" s="85" t="s">
        <v>182</v>
      </c>
      <c r="D83" s="86"/>
      <c r="E83" s="11" t="s">
        <v>64</v>
      </c>
      <c r="F83" s="11">
        <v>2</v>
      </c>
      <c r="G83" s="41"/>
      <c r="H83" s="9"/>
      <c r="K83" s="75"/>
      <c r="L83" s="75"/>
      <c r="M83" s="20"/>
    </row>
    <row r="84" spans="2:13" ht="14.25" customHeight="1" x14ac:dyDescent="0.3">
      <c r="B84" s="55" t="s">
        <v>198</v>
      </c>
      <c r="C84" s="85" t="s">
        <v>183</v>
      </c>
      <c r="D84" s="86"/>
      <c r="E84" s="11" t="s">
        <v>64</v>
      </c>
      <c r="F84" s="11">
        <v>1</v>
      </c>
      <c r="G84" s="41"/>
      <c r="H84" s="9"/>
      <c r="K84" s="21"/>
      <c r="L84" s="64"/>
      <c r="M84" s="20"/>
    </row>
    <row r="85" spans="2:13" ht="14.25" customHeight="1" x14ac:dyDescent="0.3">
      <c r="B85" s="55" t="s">
        <v>199</v>
      </c>
      <c r="C85" s="85" t="s">
        <v>184</v>
      </c>
      <c r="D85" s="86"/>
      <c r="E85" s="11" t="s">
        <v>64</v>
      </c>
      <c r="F85" s="11">
        <v>1</v>
      </c>
      <c r="G85" s="41"/>
      <c r="H85" s="9"/>
      <c r="K85" s="21"/>
      <c r="L85" s="66"/>
      <c r="M85" s="20"/>
    </row>
    <row r="86" spans="2:13" ht="14.25" customHeight="1" x14ac:dyDescent="0.3">
      <c r="B86" s="55" t="s">
        <v>200</v>
      </c>
      <c r="C86" s="85" t="s">
        <v>185</v>
      </c>
      <c r="D86" s="86"/>
      <c r="E86" s="11" t="s">
        <v>64</v>
      </c>
      <c r="F86" s="11">
        <v>1</v>
      </c>
      <c r="G86" s="41"/>
      <c r="H86" s="9"/>
      <c r="K86" s="21"/>
      <c r="L86" s="66"/>
      <c r="M86" s="20"/>
    </row>
    <row r="87" spans="2:13" ht="14.25" customHeight="1" x14ac:dyDescent="0.3">
      <c r="B87" s="55" t="s">
        <v>201</v>
      </c>
      <c r="C87" s="85" t="s">
        <v>186</v>
      </c>
      <c r="D87" s="86"/>
      <c r="E87" s="11" t="s">
        <v>64</v>
      </c>
      <c r="F87" s="11">
        <v>1</v>
      </c>
      <c r="G87" s="41"/>
      <c r="H87" s="9"/>
      <c r="K87" s="21"/>
      <c r="L87" s="67"/>
      <c r="M87" s="20"/>
    </row>
    <row r="88" spans="2:13" ht="15" customHeight="1" x14ac:dyDescent="0.25">
      <c r="B88" s="55" t="s">
        <v>202</v>
      </c>
      <c r="C88" s="85" t="s">
        <v>187</v>
      </c>
      <c r="D88" s="86"/>
      <c r="E88" s="11" t="s">
        <v>64</v>
      </c>
      <c r="F88" s="11">
        <v>6</v>
      </c>
      <c r="G88" s="41"/>
      <c r="H88" s="9"/>
      <c r="K88" s="21"/>
      <c r="L88" s="21"/>
      <c r="M88" s="20"/>
    </row>
    <row r="89" spans="2:13" ht="15.75" customHeight="1" x14ac:dyDescent="0.3">
      <c r="B89" s="55" t="s">
        <v>203</v>
      </c>
      <c r="C89" s="85" t="s">
        <v>188</v>
      </c>
      <c r="D89" s="86"/>
      <c r="E89" s="11" t="s">
        <v>64</v>
      </c>
      <c r="F89" s="11">
        <v>2</v>
      </c>
      <c r="G89" s="41"/>
      <c r="H89" s="9"/>
      <c r="K89" s="21"/>
      <c r="L89" s="64"/>
      <c r="M89" s="22"/>
    </row>
    <row r="90" spans="2:13" ht="24.75" customHeight="1" thickBot="1" x14ac:dyDescent="0.3">
      <c r="B90" s="50"/>
      <c r="C90" s="51"/>
      <c r="D90" s="51"/>
      <c r="E90" s="52"/>
      <c r="F90" s="52"/>
      <c r="G90" s="53"/>
      <c r="H90" s="54"/>
      <c r="K90" s="21"/>
      <c r="L90" s="23"/>
      <c r="M90" s="24"/>
    </row>
    <row r="91" spans="2:13" ht="14.25" thickBot="1" x14ac:dyDescent="0.3">
      <c r="B91" s="80" t="s">
        <v>8</v>
      </c>
      <c r="C91" s="81"/>
      <c r="D91" s="81"/>
      <c r="E91" s="81"/>
      <c r="F91" s="81"/>
      <c r="G91" s="82"/>
      <c r="H91" s="31">
        <f>SUM(H14:H75)</f>
        <v>0</v>
      </c>
    </row>
    <row r="92" spans="2:13" ht="14.25" thickBot="1" x14ac:dyDescent="0.3">
      <c r="B92" s="74"/>
      <c r="C92" s="72"/>
      <c r="D92" s="72"/>
      <c r="E92" s="14">
        <v>0.15</v>
      </c>
      <c r="F92" s="88" t="s">
        <v>36</v>
      </c>
      <c r="G92" s="89"/>
      <c r="H92" s="31">
        <f>PRODUCT(H91,E92)</f>
        <v>0</v>
      </c>
      <c r="I92" s="18"/>
    </row>
    <row r="93" spans="2:13" ht="14.25" thickBot="1" x14ac:dyDescent="0.3">
      <c r="B93" s="74"/>
      <c r="C93" s="72"/>
      <c r="D93" s="72"/>
      <c r="E93" s="14">
        <v>0.1</v>
      </c>
      <c r="F93" s="72"/>
      <c r="G93" s="73" t="s">
        <v>35</v>
      </c>
      <c r="H93" s="31">
        <f>PRODUCT(H91,E93)</f>
        <v>0</v>
      </c>
    </row>
    <row r="94" spans="2:13" ht="14.25" thickBot="1" x14ac:dyDescent="0.3">
      <c r="B94" s="90" t="s">
        <v>37</v>
      </c>
      <c r="C94" s="88"/>
      <c r="D94" s="88"/>
      <c r="E94" s="88"/>
      <c r="F94" s="88"/>
      <c r="G94" s="89"/>
      <c r="H94" s="31">
        <f>SUM(H91:H93)</f>
        <v>0</v>
      </c>
    </row>
    <row r="95" spans="2:13" ht="14.25" thickBot="1" x14ac:dyDescent="0.3">
      <c r="B95" s="90"/>
      <c r="C95" s="88"/>
      <c r="D95" s="88"/>
      <c r="E95" s="88"/>
      <c r="F95" s="14">
        <v>0.19</v>
      </c>
      <c r="G95" s="73" t="s">
        <v>2</v>
      </c>
      <c r="H95" s="31">
        <f>PRODUCT(H94,F95)</f>
        <v>0</v>
      </c>
    </row>
    <row r="96" spans="2:13" ht="15.75" thickBot="1" x14ac:dyDescent="0.3">
      <c r="B96" s="76" t="s">
        <v>9</v>
      </c>
      <c r="C96" s="77"/>
      <c r="D96" s="77"/>
      <c r="E96" s="77"/>
      <c r="F96" s="77"/>
      <c r="G96" s="78"/>
      <c r="H96" s="31">
        <f>SUM(H94:H95)</f>
        <v>0</v>
      </c>
    </row>
    <row r="97" spans="2:10" ht="15" x14ac:dyDescent="0.25">
      <c r="F97" s="5"/>
      <c r="G97" s="5"/>
      <c r="H97" s="15"/>
    </row>
    <row r="98" spans="2:10" ht="15" x14ac:dyDescent="0.25">
      <c r="F98" s="5"/>
      <c r="G98" s="5"/>
      <c r="H98" s="15"/>
    </row>
    <row r="99" spans="2:10" ht="15.75" thickBot="1" x14ac:dyDescent="0.3">
      <c r="F99" s="5"/>
      <c r="G99" s="5"/>
      <c r="H99" s="15"/>
      <c r="J99" s="18"/>
    </row>
    <row r="100" spans="2:10" ht="15.75" thickBot="1" x14ac:dyDescent="0.3">
      <c r="F100" s="5"/>
      <c r="G100" s="5"/>
      <c r="H100" s="15"/>
      <c r="J100" s="31"/>
    </row>
    <row r="101" spans="2:10" x14ac:dyDescent="0.25">
      <c r="B101" s="16"/>
    </row>
    <row r="102" spans="2:10" x14ac:dyDescent="0.25">
      <c r="G102" s="25"/>
    </row>
    <row r="103" spans="2:10" ht="16.5" x14ac:dyDescent="0.25">
      <c r="B103" s="87"/>
      <c r="C103" s="87"/>
      <c r="D103" s="87"/>
      <c r="E103" s="87"/>
      <c r="F103" s="87"/>
      <c r="G103" s="87"/>
      <c r="H103" s="26"/>
    </row>
    <row r="104" spans="2:10" x14ac:dyDescent="0.25">
      <c r="G104" s="25"/>
      <c r="H104" s="27"/>
    </row>
    <row r="105" spans="2:10" x14ac:dyDescent="0.25">
      <c r="G105" s="25"/>
    </row>
    <row r="106" spans="2:10" x14ac:dyDescent="0.25">
      <c r="F106" s="70"/>
    </row>
    <row r="107" spans="2:10" x14ac:dyDescent="0.25">
      <c r="D107" s="17"/>
      <c r="E107" s="17"/>
      <c r="F107" s="5"/>
      <c r="G107" s="5"/>
      <c r="H107" s="13"/>
    </row>
    <row r="108" spans="2:10" x14ac:dyDescent="0.25">
      <c r="E108" s="68"/>
      <c r="F108" s="68"/>
      <c r="G108" s="69"/>
    </row>
    <row r="109" spans="2:10" x14ac:dyDescent="0.25">
      <c r="F109" s="17"/>
    </row>
  </sheetData>
  <mergeCells count="104">
    <mergeCell ref="B2:B4"/>
    <mergeCell ref="C2:G2"/>
    <mergeCell ref="H2:H4"/>
    <mergeCell ref="C3:G3"/>
    <mergeCell ref="C4:G4"/>
    <mergeCell ref="B11:H11"/>
    <mergeCell ref="C12:D12"/>
    <mergeCell ref="B6:C6"/>
    <mergeCell ref="D6:H6"/>
    <mergeCell ref="B7:C7"/>
    <mergeCell ref="D7:H7"/>
    <mergeCell ref="B8:C8"/>
    <mergeCell ref="D8:H8"/>
    <mergeCell ref="B5:C5"/>
    <mergeCell ref="D5:H5"/>
    <mergeCell ref="B9:C9"/>
    <mergeCell ref="D9:H9"/>
    <mergeCell ref="B10:C10"/>
    <mergeCell ref="D10:H10"/>
    <mergeCell ref="C24:D24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36:D36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43:D43"/>
    <mergeCell ref="C44:D44"/>
    <mergeCell ref="C45:D45"/>
    <mergeCell ref="C46:D46"/>
    <mergeCell ref="C37:D37"/>
    <mergeCell ref="C38:D38"/>
    <mergeCell ref="C39:D39"/>
    <mergeCell ref="C40:D40"/>
    <mergeCell ref="C41:D41"/>
    <mergeCell ref="C42:D42"/>
    <mergeCell ref="C56:D5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69:D69"/>
    <mergeCell ref="C70:D70"/>
    <mergeCell ref="C71:D71"/>
    <mergeCell ref="C72:D72"/>
    <mergeCell ref="C73:D73"/>
    <mergeCell ref="C68:D68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74:D74"/>
    <mergeCell ref="B103:G103"/>
    <mergeCell ref="F92:G92"/>
    <mergeCell ref="B94:G94"/>
    <mergeCell ref="B95:E95"/>
    <mergeCell ref="C83:D83"/>
    <mergeCell ref="C84:D84"/>
    <mergeCell ref="C85:D85"/>
    <mergeCell ref="C86:D86"/>
    <mergeCell ref="C87:D87"/>
    <mergeCell ref="C88:D88"/>
    <mergeCell ref="C89:D89"/>
    <mergeCell ref="K82:L82"/>
    <mergeCell ref="B96:G96"/>
    <mergeCell ref="K83:L83"/>
    <mergeCell ref="C75:D75"/>
    <mergeCell ref="B91:G91"/>
    <mergeCell ref="C76:D76"/>
    <mergeCell ref="C77:D77"/>
    <mergeCell ref="C78:D78"/>
    <mergeCell ref="C79:D79"/>
    <mergeCell ref="C80:D80"/>
    <mergeCell ref="C81:D81"/>
    <mergeCell ref="C82:D82"/>
  </mergeCells>
  <pageMargins left="0.7" right="0.7" top="0.75" bottom="0.75" header="0.3" footer="0.3"/>
  <pageSetup paperSize="309" scale="78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Hoja2!$A$2:$A$11</xm:f>
          </x14:formula1>
          <xm:sqref>D7:H7</xm:sqref>
        </x14:dataValidation>
        <x14:dataValidation type="list" allowBlank="1" showInputMessage="1" showErrorMessage="1">
          <x14:formula1>
            <xm:f>Hoja2!$A$14:$A$18</xm:f>
          </x14:formula1>
          <xm:sqref>D9:H9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Hoja2</vt:lpstr>
      <vt:lpstr>FINAL corregido</vt:lpstr>
      <vt:lpstr>'FINAL corregido'!Área_de_impresión</vt:lpstr>
    </vt:vector>
  </TitlesOfParts>
  <Company>Gorebiobio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JLV</dc:creator>
  <cp:lastModifiedBy>Hector Saravia Fajardo</cp:lastModifiedBy>
  <cp:lastPrinted>2026-01-21T13:20:05Z</cp:lastPrinted>
  <dcterms:created xsi:type="dcterms:W3CDTF">2011-01-07T19:04:44Z</dcterms:created>
  <dcterms:modified xsi:type="dcterms:W3CDTF">2026-01-21T13:24:51Z</dcterms:modified>
</cp:coreProperties>
</file>